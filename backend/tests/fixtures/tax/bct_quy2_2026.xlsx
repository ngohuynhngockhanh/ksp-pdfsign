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YEN LINH 2026\CONG NGHE INUT\QUY 2\"/>
    </mc:Choice>
  </mc:AlternateContent>
  <bookViews>
    <workbookView xWindow="-120" yWindow="-120" windowWidth="29040" windowHeight="15840"/>
  </bookViews>
  <sheets>
    <sheet name="Tờ khai" sheetId="1" r:id="rId1"/>
    <sheet name="Bảng kê bán ra" sheetId="2" r:id="rId2"/>
    <sheet name="Bảng kê mua vào" sheetId="6" r:id="rId3"/>
  </sheets>
  <definedNames>
    <definedName name="_xlnm._FilterDatabase" localSheetId="2" hidden="1">'Bảng kê mua vào'!$A$8:$K$60</definedName>
  </definedNames>
  <calcPr calcId="162913"/>
</workbook>
</file>

<file path=xl/calcChain.xml><?xml version="1.0" encoding="utf-8"?>
<calcChain xmlns="http://schemas.openxmlformats.org/spreadsheetml/2006/main">
  <c r="I43" i="6" l="1"/>
  <c r="I44" i="6"/>
  <c r="I45" i="6"/>
  <c r="I46" i="6"/>
  <c r="I47" i="6"/>
  <c r="I48" i="6"/>
  <c r="I49" i="6"/>
  <c r="I50" i="6"/>
  <c r="I51" i="6"/>
  <c r="I52" i="6"/>
  <c r="I53" i="6"/>
  <c r="I54" i="6"/>
  <c r="I55" i="6"/>
  <c r="I56" i="6"/>
  <c r="I57" i="6"/>
  <c r="I58" i="6"/>
  <c r="H43" i="6"/>
  <c r="J43" i="6" s="1"/>
  <c r="H44" i="6"/>
  <c r="J44" i="6" s="1"/>
  <c r="H45" i="6"/>
  <c r="J45" i="6" s="1"/>
  <c r="H46" i="6"/>
  <c r="J46" i="6" s="1"/>
  <c r="H47" i="6"/>
  <c r="J47" i="6" s="1"/>
  <c r="H48" i="6"/>
  <c r="J48" i="6" s="1"/>
  <c r="H49" i="6"/>
  <c r="J49" i="6" s="1"/>
  <c r="H50" i="6"/>
  <c r="J50" i="6" s="1"/>
  <c r="H51" i="6"/>
  <c r="J51" i="6" s="1"/>
  <c r="H52" i="6"/>
  <c r="J52" i="6" s="1"/>
  <c r="H53" i="6"/>
  <c r="J53" i="6" s="1"/>
  <c r="H54" i="6"/>
  <c r="J54" i="6" s="1"/>
  <c r="H55" i="6"/>
  <c r="J55" i="6" s="1"/>
  <c r="H56" i="6"/>
  <c r="J56" i="6" s="1"/>
  <c r="H57" i="6"/>
  <c r="J57" i="6" s="1"/>
  <c r="H58" i="6"/>
  <c r="J58" i="6" s="1"/>
  <c r="G32" i="2" l="1"/>
  <c r="E32" i="2"/>
  <c r="G59" i="6"/>
  <c r="E59" i="6"/>
  <c r="I25" i="6"/>
  <c r="I26" i="6"/>
  <c r="I27" i="6"/>
  <c r="I28" i="6"/>
  <c r="I29" i="6"/>
  <c r="I30" i="6"/>
  <c r="I31" i="6"/>
  <c r="I32" i="6"/>
  <c r="I33" i="6"/>
  <c r="I34" i="6"/>
  <c r="I35" i="6"/>
  <c r="I36" i="6"/>
  <c r="H25" i="6"/>
  <c r="J25" i="6" s="1"/>
  <c r="H26" i="6"/>
  <c r="J26" i="6" s="1"/>
  <c r="H27" i="6"/>
  <c r="J27" i="6" s="1"/>
  <c r="H28" i="6"/>
  <c r="J28" i="6" s="1"/>
  <c r="H29" i="6"/>
  <c r="J29" i="6" s="1"/>
  <c r="H30" i="6"/>
  <c r="J30" i="6" s="1"/>
  <c r="H31" i="6"/>
  <c r="J31" i="6" s="1"/>
  <c r="H32" i="6"/>
  <c r="J32" i="6" s="1"/>
  <c r="H33" i="6"/>
  <c r="J33" i="6" s="1"/>
  <c r="H34" i="6"/>
  <c r="J34" i="6" s="1"/>
  <c r="H35" i="6"/>
  <c r="J35" i="6" s="1"/>
  <c r="H36" i="6"/>
  <c r="J36" i="6" s="1"/>
  <c r="A3" i="6"/>
  <c r="A3" i="2"/>
  <c r="I20" i="2" l="1"/>
  <c r="I21" i="2"/>
  <c r="I22" i="2"/>
  <c r="I23" i="2"/>
  <c r="I24" i="2"/>
  <c r="I25" i="2"/>
  <c r="I26" i="2"/>
  <c r="I27" i="2"/>
  <c r="I28" i="2"/>
  <c r="I29" i="2"/>
  <c r="I30" i="2"/>
  <c r="I31" i="2"/>
  <c r="H20" i="2"/>
  <c r="H21" i="2"/>
  <c r="J21" i="2" s="1"/>
  <c r="H22" i="2"/>
  <c r="J22" i="2" s="1"/>
  <c r="H23" i="2"/>
  <c r="H24" i="2"/>
  <c r="H25" i="2"/>
  <c r="J25" i="2" s="1"/>
  <c r="H26" i="2"/>
  <c r="J26" i="2" s="1"/>
  <c r="H27" i="2"/>
  <c r="J27" i="2" s="1"/>
  <c r="H28" i="2"/>
  <c r="J28" i="2" s="1"/>
  <c r="H29" i="2"/>
  <c r="J29" i="2" s="1"/>
  <c r="H30" i="2"/>
  <c r="J30" i="2" s="1"/>
  <c r="H31" i="2"/>
  <c r="J31" i="2" s="1"/>
  <c r="J23" i="2"/>
  <c r="J24" i="2"/>
  <c r="J33" i="2"/>
  <c r="J34" i="2"/>
  <c r="I19" i="2"/>
  <c r="A6" i="6"/>
  <c r="A5" i="6"/>
  <c r="A4" i="6"/>
  <c r="A6" i="2"/>
  <c r="A5" i="2"/>
  <c r="A4" i="2"/>
  <c r="D21" i="1"/>
  <c r="D18" i="1" s="1"/>
  <c r="D14" i="1"/>
  <c r="H21" i="6"/>
  <c r="J21" i="6" s="1"/>
  <c r="H19" i="2"/>
  <c r="H42" i="6"/>
  <c r="J42" i="6" s="1"/>
  <c r="I42" i="6"/>
  <c r="I16" i="6"/>
  <c r="H14" i="6"/>
  <c r="J14" i="6" s="1"/>
  <c r="H15" i="6"/>
  <c r="J15" i="6" s="1"/>
  <c r="H16" i="6"/>
  <c r="J16" i="6" s="1"/>
  <c r="H17" i="6"/>
  <c r="J17" i="6" s="1"/>
  <c r="I15" i="6"/>
  <c r="I14" i="6"/>
  <c r="I39" i="6"/>
  <c r="H39" i="6"/>
  <c r="J39" i="6" s="1"/>
  <c r="I19" i="6"/>
  <c r="H19" i="6"/>
  <c r="J19" i="6" s="1"/>
  <c r="I11" i="6"/>
  <c r="I12" i="6"/>
  <c r="I13" i="6"/>
  <c r="I17" i="6"/>
  <c r="I18" i="6"/>
  <c r="I20" i="6"/>
  <c r="I21" i="6"/>
  <c r="I22" i="6"/>
  <c r="I23" i="6"/>
  <c r="I24" i="6"/>
  <c r="I37" i="6"/>
  <c r="I38" i="6"/>
  <c r="I40" i="6"/>
  <c r="I41" i="6"/>
  <c r="H11" i="6"/>
  <c r="H12" i="6"/>
  <c r="J12" i="6" s="1"/>
  <c r="H13" i="6"/>
  <c r="J13" i="6" s="1"/>
  <c r="H18" i="6"/>
  <c r="J18" i="6" s="1"/>
  <c r="H20" i="6"/>
  <c r="J20" i="6" s="1"/>
  <c r="H22" i="6"/>
  <c r="J22" i="6" s="1"/>
  <c r="H23" i="6"/>
  <c r="J23" i="6" s="1"/>
  <c r="H24" i="6"/>
  <c r="J24" i="6" s="1"/>
  <c r="H37" i="6"/>
  <c r="J37" i="6" s="1"/>
  <c r="H38" i="6"/>
  <c r="J38" i="6" s="1"/>
  <c r="H40" i="6"/>
  <c r="J40" i="6" s="1"/>
  <c r="H41" i="6"/>
  <c r="J41" i="6" s="1"/>
  <c r="E17" i="2"/>
  <c r="D20" i="1" s="1"/>
  <c r="G16" i="2"/>
  <c r="G17" i="2" s="1"/>
  <c r="F20" i="1" s="1"/>
  <c r="J19" i="2" l="1"/>
  <c r="H32" i="2"/>
  <c r="J32" i="2" s="1"/>
  <c r="I32" i="2"/>
  <c r="J11" i="6"/>
  <c r="J59" i="6" s="1"/>
  <c r="H59" i="6"/>
  <c r="I59" i="6"/>
  <c r="J20" i="2"/>
  <c r="D23" i="1"/>
  <c r="E33" i="2"/>
  <c r="F21" i="1" l="1"/>
  <c r="E34" i="2"/>
  <c r="F14" i="1"/>
  <c r="F15" i="1" s="1"/>
  <c r="F23" i="1" l="1"/>
  <c r="F24" i="1" s="1"/>
  <c r="F30" i="1" s="1"/>
  <c r="F32" i="1" s="1"/>
  <c r="F18" i="1"/>
</calcChain>
</file>

<file path=xl/sharedStrings.xml><?xml version="1.0" encoding="utf-8"?>
<sst xmlns="http://schemas.openxmlformats.org/spreadsheetml/2006/main" count="291" uniqueCount="226">
  <si>
    <t>TỜ KHAI THUẾ GIÁ TRỊ GIA TĂNG (MẪU 01/GTKT )</t>
  </si>
  <si>
    <t>Dành cho người nộp thuế tờ khai GTGT theo phương pháp khấu trừ )</t>
  </si>
  <si>
    <t>Lần Đầu ( X )</t>
  </si>
  <si>
    <t>STT</t>
  </si>
  <si>
    <t>A</t>
  </si>
  <si>
    <t>B</t>
  </si>
  <si>
    <t>C</t>
  </si>
  <si>
    <t>I</t>
  </si>
  <si>
    <t>II</t>
  </si>
  <si>
    <t>a</t>
  </si>
  <si>
    <t>b</t>
  </si>
  <si>
    <t>c</t>
  </si>
  <si>
    <t>III</t>
  </si>
  <si>
    <t>IV</t>
  </si>
  <si>
    <t>V</t>
  </si>
  <si>
    <t>VI</t>
  </si>
  <si>
    <t>CHỈ TIÊU</t>
  </si>
  <si>
    <t>Thuế GTGT còn được khấu trừ kỳ trước chuyển sang</t>
  </si>
  <si>
    <t>Kê khai thuế GTGT phải nộp ngân sách nhà nước</t>
  </si>
  <si>
    <t>Hàng hóa, dịch vụ (HHDV) mua vào trong kỳ</t>
  </si>
  <si>
    <t>Giá trị GTGT của hàng hóa, dịch vụ mua vào</t>
  </si>
  <si>
    <t>Tổng số thuế GTGT được khấu trừ kỳ này</t>
  </si>
  <si>
    <t>Hàng hóa, dịch vụ bán ra trong kỳ</t>
  </si>
  <si>
    <t>Hàng hóa, dịch vụ bán ra không chịu thuế GTGT</t>
  </si>
  <si>
    <t>d</t>
  </si>
  <si>
    <t>Hàng hóa, dịch vụ bán ra chịu thuế suất 0%</t>
  </si>
  <si>
    <t>Hàng hóa, dịch vụ bán ra chịu thuế suất 5%</t>
  </si>
  <si>
    <t>Hàng hóa, dịch vụ bán ra chịu thuế suất 10%</t>
  </si>
  <si>
    <t xml:space="preserve">Hàng hóa, dịch vụ bán ra không thuế </t>
  </si>
  <si>
    <t>Tổng doanh thu và thuế GTGT của HHDV bán ra ([34]=[26]+[27];[35]=[28])</t>
  </si>
  <si>
    <t>Thuế GTGT Phát sinh trong kỳ ([36]=[35]-[25])</t>
  </si>
  <si>
    <t>Điều chỉnh tăng , Giảm thuế GTGT còn được khấu trừ kỳ trước</t>
  </si>
  <si>
    <t>Điều chỉnh giảm</t>
  </si>
  <si>
    <t>Điều chỉnh tăng</t>
  </si>
  <si>
    <t>Xác định nghĩa vụ thuế GTGT phải nộp trong kỳ</t>
  </si>
  <si>
    <t>Thuế GTGT còn phải nộp trong kỳ ([40]=[40a]-[40b]</t>
  </si>
  <si>
    <t>Thuế GTGT chưa khấu trừ hết kỳ này (nếu ([41]=[36]-[22]+[37]-38]-[39]&lt;0)</t>
  </si>
  <si>
    <t>Tổng số thuế GTGT đề nghị hoàn</t>
  </si>
  <si>
    <t>Thuế GTGT còn được chuyển sang kỳ sau ([43]=[41]-[42]</t>
  </si>
  <si>
    <t>Thuế GTGT mua vào của dự án đầu tư được bù trừ với thuế GTGT
 còn phải nộp của hoạt động sản xuất kinh doanh cùng kỳ tính thuế</t>
  </si>
  <si>
    <t>Hàng hóa, dịch vụ bán ra chịu thuế GTGT ([27]=[29]+[30]+[32]+[32a];
 [28]=[26]+[27];[35]=[28]</t>
  </si>
  <si>
    <t>Thuế GTGT đã nộp ở địa phương khác của hoạt động kinh doanh xây dựng, 
bắt động sản ngoại tỉnh</t>
  </si>
  <si>
    <t>Thuế GTGT phải nộp của hoạt động sản xuất kinh doanh trong kỳ
 ([40a]=[36]-[22]+[37]-[38]+[39]&gt;=0)</t>
  </si>
  <si>
    <t>Giá trị HHDV
(chưa có thuế GTGT)</t>
  </si>
  <si>
    <t>Thuế GTGT</t>
  </si>
  <si>
    <t xml:space="preserve">Không phát sinh hoạt động mua, bán trong kỳ ( đánh dấu "X")                 [21] </t>
  </si>
  <si>
    <t>[]</t>
  </si>
  <si>
    <t>[22]</t>
  </si>
  <si>
    <t>[23]</t>
  </si>
  <si>
    <t>[24]</t>
  </si>
  <si>
    <t>[25]</t>
  </si>
  <si>
    <t>[26]</t>
  </si>
  <si>
    <t>[27]</t>
  </si>
  <si>
    <t>[29]</t>
  </si>
  <si>
    <t>[30]</t>
  </si>
  <si>
    <t>[32]</t>
  </si>
  <si>
    <t>[32a]</t>
  </si>
  <si>
    <t>[34]</t>
  </si>
  <si>
    <t>[28]</t>
  </si>
  <si>
    <t>[31]</t>
  </si>
  <si>
    <t>[33]</t>
  </si>
  <si>
    <t>[35]</t>
  </si>
  <si>
    <t>[36]</t>
  </si>
  <si>
    <t>[37]</t>
  </si>
  <si>
    <t>[38]</t>
  </si>
  <si>
    <t>[39]</t>
  </si>
  <si>
    <t>[40a]</t>
  </si>
  <si>
    <t>[40b]</t>
  </si>
  <si>
    <t>[40]</t>
  </si>
  <si>
    <t>[41]</t>
  </si>
  <si>
    <t>[42]</t>
  </si>
  <si>
    <t>[43]</t>
  </si>
  <si>
    <t>Hóa đơn, chứng từ bán ra</t>
  </si>
  <si>
    <t>Số hóa đơn</t>
  </si>
  <si>
    <t>Ngày, Tháng, Năm lập hóa đơn</t>
  </si>
  <si>
    <t>Tên người mua</t>
  </si>
  <si>
    <t>Doanh thu chưa có thuế GTGT</t>
  </si>
  <si>
    <t>Thuế Suất</t>
  </si>
  <si>
    <t>Tiền thuế</t>
  </si>
  <si>
    <t>1. Hàng hóa , dịch vụ không chịu thuế giá trị gia tăng (GTGT):</t>
  </si>
  <si>
    <t xml:space="preserve">TỔNG CỘNG : </t>
  </si>
  <si>
    <t>2. Hàng hóa , dịch vụ chịu thuế suất GTGT 0% :</t>
  </si>
  <si>
    <t>PHỤ LỤC</t>
  </si>
  <si>
    <t>BẢNG KÊ HÓA ĐƠN, CHỨNG TỪ HÀNG HÓA, DỊCH VỤ BÁN RA</t>
  </si>
  <si>
    <t xml:space="preserve">Tổng doanh thu hàng hóa, dịch vụ bán ra chịu thuế GTGT: </t>
  </si>
  <si>
    <t xml:space="preserve">Tổng số thuế GTGT của hàng hóa, dịch vụ bán ra : </t>
  </si>
  <si>
    <t>Hóa đơn, chứng từ, biên lai nộp thuế</t>
  </si>
  <si>
    <t>Giá trị HHDV mua vào 
chưa có thuế</t>
  </si>
  <si>
    <t>Thuế GTGT đủ điều kiện 
khấu trừ thuế</t>
  </si>
  <si>
    <t xml:space="preserve">2. Hàng hóa , dịch vụ dùng chung cho SXKD chịu thuế và không chịu thuế đủ điều kiện khấu trừ thuế: </t>
  </si>
  <si>
    <t>1. Hàng hóa , dịch vụ dùng riêng cho SXKD chịu thuế GTGT và sử dụng cho các hoạt động cung cấp hàng hóa, dịch vụ không kê khai,nộp thuế GTGT đủ điều kiện khấu trừ:</t>
  </si>
  <si>
    <t>3. Hàng hóa , dịch vụ chịu thuế suất GTGT 5% :</t>
  </si>
  <si>
    <t>4. Hàng hóa , dịch vụ chịu thuế suất GTGT 10% :</t>
  </si>
  <si>
    <t>3. Hàng hóa , dịch vụ dùng cho dự án đầu tư đủ điều kiện được khấu trừ thuế :</t>
  </si>
  <si>
    <t xml:space="preserve">Tổng giá trị HHDV mua vào phục vụ SXKD được khấu trừ thuế GTGT : </t>
  </si>
  <si>
    <t xml:space="preserve">Tổng số thuế GTGT của HHDV mua vào đủ điều kiện được khấu trừ : </t>
  </si>
  <si>
    <t>01</t>
  </si>
  <si>
    <t>02</t>
  </si>
  <si>
    <t>03</t>
  </si>
  <si>
    <t>04</t>
  </si>
  <si>
    <t>05</t>
  </si>
  <si>
    <t>Thành tiền</t>
  </si>
  <si>
    <t>TỔNG CỘNG</t>
  </si>
  <si>
    <t>06</t>
  </si>
  <si>
    <t>07</t>
  </si>
  <si>
    <t>08</t>
  </si>
  <si>
    <t>09</t>
  </si>
  <si>
    <t>10</t>
  </si>
  <si>
    <t>11</t>
  </si>
  <si>
    <t>12</t>
  </si>
  <si>
    <t>13</t>
  </si>
  <si>
    <t>14</t>
  </si>
  <si>
    <t>15</t>
  </si>
  <si>
    <t>16</t>
  </si>
  <si>
    <t>17</t>
  </si>
  <si>
    <t>18</t>
  </si>
  <si>
    <t>19</t>
  </si>
  <si>
    <t>BẢNG KÊ HÓA ĐƠN, CHỨNG TỪ HÀNG HÓA, DỊCH VỤ MUA VÀO</t>
  </si>
  <si>
    <t>20</t>
  </si>
  <si>
    <t>22</t>
  </si>
  <si>
    <t>21</t>
  </si>
  <si>
    <t>23</t>
  </si>
  <si>
    <t>24</t>
  </si>
  <si>
    <t>25</t>
  </si>
  <si>
    <t>26</t>
  </si>
  <si>
    <t>Tên người bán</t>
  </si>
  <si>
    <t>27</t>
  </si>
  <si>
    <t>28</t>
  </si>
  <si>
    <t>29</t>
  </si>
  <si>
    <t>30</t>
  </si>
  <si>
    <t>31</t>
  </si>
  <si>
    <t>32</t>
  </si>
  <si>
    <t>33</t>
  </si>
  <si>
    <t>34</t>
  </si>
  <si>
    <t>35</t>
  </si>
  <si>
    <t>36</t>
  </si>
  <si>
    <t>37</t>
  </si>
  <si>
    <t>38</t>
  </si>
  <si>
    <t>39</t>
  </si>
  <si>
    <t>40</t>
  </si>
  <si>
    <t>41</t>
  </si>
  <si>
    <t>42</t>
  </si>
  <si>
    <t>43</t>
  </si>
  <si>
    <t>44</t>
  </si>
  <si>
    <t>45</t>
  </si>
  <si>
    <t>46</t>
  </si>
  <si>
    <t>47</t>
  </si>
  <si>
    <t>48</t>
  </si>
  <si>
    <t>Kỳ tính thuế : Quý 02 Năm 2026</t>
  </si>
  <si>
    <t>Mã số thuế :4401053694</t>
  </si>
  <si>
    <t>Tên người nộp thuế : CÔNG TY CỔ PHẦN ĐẦU TƯ VÀ PHÁT TRIỂN CÔNG NGHỆ INUT</t>
  </si>
  <si>
    <t>Địa chỉ :161 Trường Chinh, Phường Tuy Hòa, Tỉnh Đắk Lắk, Việt Nam</t>
  </si>
  <si>
    <t>24/04/2026</t>
  </si>
  <si>
    <t>28/04/2026</t>
  </si>
  <si>
    <t>04/05/2026</t>
  </si>
  <si>
    <t>08/05/2026</t>
  </si>
  <si>
    <t>14/05/2026</t>
  </si>
  <si>
    <t>01/06/2026</t>
  </si>
  <si>
    <t>11/06/2026</t>
  </si>
  <si>
    <t>17/06/2026</t>
  </si>
  <si>
    <t>22/06/2026</t>
  </si>
  <si>
    <t>29/06/2026</t>
  </si>
  <si>
    <t>CÔNG TY CỔ PHẦN KỸ THUẬT TỰ ĐỘNG HOÁ IOT</t>
  </si>
  <si>
    <t>CÔNG TY CỔ PHẦN  ĐTĐ</t>
  </si>
  <si>
    <t>CÔNG TY TNHH THIẾT BỊ VÀ DỊCH VỤ HOÀNG DƯƠNG</t>
  </si>
  <si>
    <t>CÔNG TY TNHH THƯƠNG MẠI DỊCH VỤ KỸ THUẬT BẢO TOÀN</t>
  </si>
  <si>
    <t>CÔNG TY CỔ PHẦN ĐẦU TƯ PHÁT TRIỂN CÔNG NGHỆ TÂN THANH PHƯƠNG</t>
  </si>
  <si>
    <t>CÔNG TY CỔ PHẦN PHE VIỆT NAM</t>
  </si>
  <si>
    <t>HUNAN RIKA ELECTRONIC TECH CO.,LTD</t>
  </si>
  <si>
    <t>Tờ khai nhập khẩu</t>
  </si>
  <si>
    <t>SHENZHEN  HAOYU TECHNOLOGY CO., LTD</t>
  </si>
  <si>
    <t>01/04/2026</t>
  </si>
  <si>
    <t>03/04/2026</t>
  </si>
  <si>
    <t>06/04/2026</t>
  </si>
  <si>
    <t>07/04/2026</t>
  </si>
  <si>
    <t>15/04/2026</t>
  </si>
  <si>
    <t>16/04/2026</t>
  </si>
  <si>
    <t>17/04/2026</t>
  </si>
  <si>
    <t>18/04/2026</t>
  </si>
  <si>
    <t>19/04/2026</t>
  </si>
  <si>
    <t>27/04/2026</t>
  </si>
  <si>
    <t>05/05/2026</t>
  </si>
  <si>
    <t>06/05/2026</t>
  </si>
  <si>
    <t>07/05/2026</t>
  </si>
  <si>
    <t>09/05/2026</t>
  </si>
  <si>
    <t>10/05/2026</t>
  </si>
  <si>
    <t>12/05/2026</t>
  </si>
  <si>
    <t>16/05/2026</t>
  </si>
  <si>
    <t>19/05/2026</t>
  </si>
  <si>
    <t>23/05/2026</t>
  </si>
  <si>
    <t>26/05/2026</t>
  </si>
  <si>
    <t>27/05/2026</t>
  </si>
  <si>
    <t>02/06/2026</t>
  </si>
  <si>
    <t>03/06/2026</t>
  </si>
  <si>
    <t>05/06/2026</t>
  </si>
  <si>
    <t>06/06/2026</t>
  </si>
  <si>
    <t>15/06/2026</t>
  </si>
  <si>
    <t>26/06/2026</t>
  </si>
  <si>
    <t>CÔNG TY TNHH THƯƠNG MẠI DỊCH VỤ VIỄN THÔNG GIÁ RẺ</t>
  </si>
  <si>
    <t>CÔNG TY CỔ PHẦN PHÁT TRIỂN THIẾT BỊ CÔNG NGHỆ SỐ VIỆT NAM</t>
  </si>
  <si>
    <t>CÔNG TY CỔ PHẦN DỊCH VỤ TỨC THỜI</t>
  </si>
  <si>
    <t>CÔNG TY TNHH TIN HỌC VÀ CÔNG NGHỆ HÀ THÀNH</t>
  </si>
  <si>
    <t>CÔNG TY TNHH THƯƠNG MẠI DỊCH VỤ ĐIỆN TỬ VIỆT HOÀNG</t>
  </si>
  <si>
    <t>CÔNG TY CỔ PHẦN PHÁT TRIỂN ỨNG DỤNG CÔNG NGHỆ MỚI VN</t>
  </si>
  <si>
    <t>CÔNG TY TNHH THƯƠNG MẠI VÀ DỊCH VỤ CÔNG NGHỆ KIỆT PHÁT</t>
  </si>
  <si>
    <t>CÔNG TY TNHH GRAB</t>
  </si>
  <si>
    <t>CÔNG TY CỔ PHẦN BE GROUP</t>
  </si>
  <si>
    <t>CÔNG TY TNHH MỘT THÀNH VIÊN THƯƠNG MẠI DỊCH VỤ THIÊN LONG HOÀN CẦU</t>
  </si>
  <si>
    <t>CÔNG TY CỔ PHẦN TẬP ĐOÀN GOLDEN GATE - CHI NHÁNH MIỀN NAM</t>
  </si>
  <si>
    <t>CÔNG TY CỔ PHẦN PHÁT TRIỂN ỨNG DỤNG CÔNG NGHỆ MỚI</t>
  </si>
  <si>
    <t>CÔNG TY CỔ PHẦN TẬP ĐOÀN TRUNG NGUYÊN</t>
  </si>
  <si>
    <t>CÔNG TY CỔ PHẦN ECO WIPES VIỆT NAM</t>
  </si>
  <si>
    <t>CÔNG TY TNHH CÔNG NGHIỆP VÀ THƯƠNG MẠI KADOTECH</t>
  </si>
  <si>
    <t>CÔNG TY TNHH AN NINH PHÁT TRIỂN TOÀN CẦU MỚI</t>
  </si>
  <si>
    <t>CÔNG TY TNHH CÔNG NGHỆ DỊCH VỤ NGỌC DIỆP</t>
  </si>
  <si>
    <t>CÔNG TY TNHH GIẢI PHÁP CÔNG NGHỆ DH LEND</t>
  </si>
  <si>
    <t>Tập đoàn Công nghiệp - Viễn thông Quân đội</t>
  </si>
  <si>
    <t>CÔNG TY TNHH PHÁT TRIỂN THƯƠNG MẠI VÀ DỊCH VỤ QUỐC TẾ T&amp;T</t>
  </si>
  <si>
    <t>CÔNG TY TNHH SẢN XUẤT VÀ THƯƠNG MẠI ĐIỆN TỬ EPCB</t>
  </si>
  <si>
    <t>CÔNG TY TNHH DỊCH VỤ TIN HỌC SIÊU TỐC</t>
  </si>
  <si>
    <t>CÔNG TY TNHH KỸ THUẬT VINH PHÁT</t>
  </si>
  <si>
    <t>CÔNG TY TNHH ĐIỆN TỬ TD</t>
  </si>
  <si>
    <t>CÔNG TY CỔ PHẦN GIẢI PHÁP VÀ CÔNG NGHỆ VIETNIX</t>
  </si>
  <si>
    <t>CÔNG TY TNHH TDLOGY</t>
  </si>
  <si>
    <t>CÔNG TY TNHH CÔNG NGHỆ ĐÔNG KIM</t>
  </si>
  <si>
    <t>CÔNG TY TNHH THƯƠNG MẠI DỊCH VỤ PHÁT TRIỂN VIỄN THÔNG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</si>
</sst>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_(* #,##0_);_(* \(#,##0\);_(* &quot;-&quot;??_);_(@_)"/>
    <numFmt numFmtId="165" formatCode="_(* #,##0.0_);_(* \(#,##0.0\);_(* &quot;-&quot;??_);_(@_)"/>
  </numFmts>
  <fonts count="10" x14ac:knownFonts="1">
    <font>
      <sz val="11"/>
      <color theme="1"/>
      <name val="Calibri"/>
      <family val="2"/>
      <scheme val="minor"/>
    </font>
    <font>
      <sz val="11"/>
      <color theme="1"/>
      <name val="Times New Roman"/>
      <family val="1"/>
    </font>
    <font>
      <b/>
      <sz val="16"/>
      <color theme="1"/>
      <name val="Times New Roman"/>
      <family val="1"/>
    </font>
    <font>
      <sz val="14"/>
      <color theme="1"/>
      <name val="Times New Roman"/>
      <family val="1"/>
    </font>
    <font>
      <sz val="12"/>
      <color theme="1"/>
      <name val="Times New Roman"/>
      <family val="1"/>
    </font>
    <font>
      <sz val="11"/>
      <color theme="1"/>
      <name val="Calibri"/>
      <family val="2"/>
      <scheme val="minor"/>
    </font>
    <font>
      <b/>
      <sz val="12"/>
      <color theme="1"/>
      <name val="Times New Roman"/>
      <family val="1"/>
    </font>
    <font>
      <sz val="16"/>
      <color theme="1"/>
      <name val="Times New Roman"/>
      <family val="1"/>
    </font>
    <font>
      <b/>
      <sz val="11"/>
      <color theme="1"/>
      <name val="Times New Roman"/>
      <family val="1"/>
    </font>
    <font>
      <sz val="8"/>
      <name val="Calibri"/>
      <family val="2"/>
      <scheme val="minor"/>
    </font>
  </fonts>
  <fills count="3">
    <fill>
      <patternFill patternType="none"/>
    </fill>
    <fill>
      <patternFill patternType="gray125"/>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43" fontId="5" fillId="0" borderId="0" applyFont="0" applyFill="0" applyBorder="0" applyAlignment="0" applyProtection="0"/>
  </cellStyleXfs>
  <cellXfs count="109">
    <xf numFmtId="0" fontId="0" fillId="0" borderId="0" xfId="0"/>
    <xf numFmtId="0" fontId="6" fillId="0" borderId="1" xfId="0" applyFont="1" applyBorder="1" applyAlignment="1">
      <alignment vertical="center" wrapText="1"/>
    </xf>
    <xf numFmtId="0" fontId="6" fillId="2" borderId="1" xfId="0" applyFont="1" applyFill="1" applyBorder="1" applyAlignment="1">
      <alignment vertical="center" wrapText="1"/>
    </xf>
    <xf numFmtId="0" fontId="4" fillId="0" borderId="0" xfId="0" applyFont="1" applyAlignment="1">
      <alignment horizontal="center"/>
    </xf>
    <xf numFmtId="0" fontId="1" fillId="2" borderId="0" xfId="0" applyFont="1" applyFill="1" applyAlignment="1">
      <alignment vertical="center" wrapText="1"/>
    </xf>
    <xf numFmtId="0" fontId="1" fillId="2" borderId="0" xfId="0" applyFont="1" applyFill="1" applyAlignment="1">
      <alignment horizontal="left" vertical="center" wrapText="1"/>
    </xf>
    <xf numFmtId="164" fontId="1" fillId="2" borderId="0" xfId="0" applyNumberFormat="1" applyFont="1" applyFill="1" applyAlignment="1">
      <alignment vertical="center" wrapText="1"/>
    </xf>
    <xf numFmtId="164" fontId="1" fillId="2" borderId="0" xfId="1" applyNumberFormat="1" applyFont="1" applyFill="1" applyAlignment="1">
      <alignment vertical="center" wrapText="1"/>
    </xf>
    <xf numFmtId="0" fontId="6" fillId="0" borderId="0" xfId="0" applyFont="1" applyAlignment="1">
      <alignment horizontal="center" vertical="center" wrapText="1"/>
    </xf>
    <xf numFmtId="0" fontId="4" fillId="0" borderId="0" xfId="0" applyFont="1" applyAlignment="1">
      <alignment vertical="center" wrapText="1"/>
    </xf>
    <xf numFmtId="164" fontId="4" fillId="0" borderId="0" xfId="1" applyNumberFormat="1" applyFont="1" applyAlignment="1">
      <alignment vertical="center" wrapText="1"/>
    </xf>
    <xf numFmtId="0" fontId="4" fillId="0" borderId="0" xfId="0" applyFont="1" applyAlignment="1">
      <alignment horizontal="left" vertical="center" wrapText="1"/>
    </xf>
    <xf numFmtId="0" fontId="7" fillId="0" borderId="0" xfId="0" applyFont="1" applyAlignment="1">
      <alignment vertical="center" wrapText="1"/>
    </xf>
    <xf numFmtId="0" fontId="3" fillId="0" borderId="0" xfId="0" applyFont="1" applyAlignment="1">
      <alignment vertical="center" wrapText="1"/>
    </xf>
    <xf numFmtId="0" fontId="6" fillId="2" borderId="0" xfId="0" applyFont="1" applyFill="1" applyAlignment="1">
      <alignment horizontal="center" vertical="center" wrapText="1"/>
    </xf>
    <xf numFmtId="0" fontId="4" fillId="2" borderId="0" xfId="0" applyFont="1" applyFill="1" applyAlignment="1">
      <alignment vertical="center" wrapText="1"/>
    </xf>
    <xf numFmtId="0" fontId="4" fillId="0" borderId="0" xfId="0" applyFont="1"/>
    <xf numFmtId="0" fontId="6" fillId="0" borderId="1" xfId="0" applyFont="1" applyBorder="1"/>
    <xf numFmtId="0" fontId="6" fillId="0" borderId="1" xfId="0" applyFont="1" applyBorder="1" applyAlignment="1">
      <alignment horizontal="center"/>
    </xf>
    <xf numFmtId="0" fontId="6" fillId="0" borderId="1" xfId="0" applyFont="1" applyBorder="1" applyAlignment="1">
      <alignment horizontal="left"/>
    </xf>
    <xf numFmtId="0" fontId="4" fillId="0" borderId="1" xfId="0" applyFont="1" applyBorder="1"/>
    <xf numFmtId="164" fontId="4" fillId="0" borderId="1" xfId="1" applyNumberFormat="1" applyFont="1" applyBorder="1"/>
    <xf numFmtId="0" fontId="4" fillId="0" borderId="1" xfId="0" applyFont="1" applyBorder="1" applyAlignment="1">
      <alignment wrapText="1"/>
    </xf>
    <xf numFmtId="164" fontId="4" fillId="0" borderId="1" xfId="0" applyNumberFormat="1" applyFont="1" applyBorder="1"/>
    <xf numFmtId="0" fontId="4" fillId="0" borderId="1" xfId="0" applyFont="1" applyBorder="1" applyAlignment="1">
      <alignment horizontal="center"/>
    </xf>
    <xf numFmtId="164" fontId="4" fillId="0" borderId="1" xfId="1" applyNumberFormat="1" applyFont="1" applyBorder="1" applyAlignment="1">
      <alignment horizontal="right"/>
    </xf>
    <xf numFmtId="0" fontId="3" fillId="0" borderId="0" xfId="0" applyFont="1"/>
    <xf numFmtId="0" fontId="7" fillId="0" borderId="0" xfId="0" applyFont="1"/>
    <xf numFmtId="0" fontId="1" fillId="0" borderId="1" xfId="0" quotePrefix="1" applyFont="1" applyBorder="1" applyAlignment="1">
      <alignment horizontal="left" vertical="center" wrapText="1"/>
    </xf>
    <xf numFmtId="14" fontId="1" fillId="0" borderId="1" xfId="0" applyNumberFormat="1" applyFont="1" applyBorder="1" applyAlignment="1">
      <alignment horizontal="left" vertical="center" wrapText="1"/>
    </xf>
    <xf numFmtId="0" fontId="1" fillId="0" borderId="1" xfId="0" applyFont="1" applyBorder="1" applyAlignment="1">
      <alignment horizontal="left" vertical="center" wrapText="1"/>
    </xf>
    <xf numFmtId="164" fontId="1" fillId="0" borderId="1" xfId="1" applyNumberFormat="1" applyFont="1" applyBorder="1" applyAlignment="1">
      <alignment horizontal="left" vertical="center" wrapText="1"/>
    </xf>
    <xf numFmtId="9" fontId="1" fillId="0" borderId="1" xfId="0" applyNumberFormat="1" applyFont="1" applyBorder="1" applyAlignment="1">
      <alignment horizontal="left" vertical="center" wrapText="1"/>
    </xf>
    <xf numFmtId="164" fontId="1" fillId="0" borderId="1" xfId="1" applyNumberFormat="1" applyFont="1" applyBorder="1" applyAlignment="1">
      <alignment vertical="center" wrapText="1"/>
    </xf>
    <xf numFmtId="164" fontId="1" fillId="0" borderId="0" xfId="0" applyNumberFormat="1" applyFont="1" applyAlignment="1">
      <alignment vertical="center" wrapText="1"/>
    </xf>
    <xf numFmtId="0" fontId="1" fillId="0" borderId="0" xfId="0" applyFont="1" applyAlignment="1">
      <alignment vertical="center" wrapText="1"/>
    </xf>
    <xf numFmtId="164" fontId="8" fillId="0" borderId="1" xfId="1" applyNumberFormat="1" applyFont="1" applyBorder="1" applyAlignment="1">
      <alignment vertical="center" wrapText="1"/>
    </xf>
    <xf numFmtId="0" fontId="1" fillId="0" borderId="0" xfId="0" applyFont="1" applyAlignment="1">
      <alignment horizontal="left" vertical="center" wrapText="1"/>
    </xf>
    <xf numFmtId="0" fontId="1" fillId="0" borderId="1" xfId="0" applyFont="1" applyBorder="1" applyAlignment="1">
      <alignment vertical="center" wrapText="1"/>
    </xf>
    <xf numFmtId="164" fontId="1" fillId="0" borderId="0" xfId="1" applyNumberFormat="1" applyFont="1" applyBorder="1" applyAlignment="1">
      <alignment vertical="center" wrapText="1"/>
    </xf>
    <xf numFmtId="164" fontId="8" fillId="0" borderId="1" xfId="1" applyNumberFormat="1" applyFont="1" applyBorder="1" applyAlignment="1">
      <alignment horizontal="left" vertical="center" wrapText="1"/>
    </xf>
    <xf numFmtId="164" fontId="8" fillId="0" borderId="0" xfId="1" applyNumberFormat="1" applyFont="1" applyBorder="1" applyAlignment="1">
      <alignment horizontal="left" vertical="center" wrapText="1"/>
    </xf>
    <xf numFmtId="164" fontId="1" fillId="0" borderId="0" xfId="1" applyNumberFormat="1" applyFont="1" applyAlignment="1">
      <alignment vertical="center" wrapText="1"/>
    </xf>
    <xf numFmtId="0" fontId="1" fillId="2" borderId="1" xfId="0" applyFont="1" applyFill="1" applyBorder="1" applyAlignment="1">
      <alignment vertical="center" wrapText="1"/>
    </xf>
    <xf numFmtId="164" fontId="1" fillId="2" borderId="1" xfId="1" applyNumberFormat="1" applyFont="1" applyFill="1" applyBorder="1" applyAlignment="1">
      <alignment vertical="center" wrapText="1"/>
    </xf>
    <xf numFmtId="164" fontId="1" fillId="2" borderId="0" xfId="1" applyNumberFormat="1" applyFont="1" applyFill="1" applyBorder="1" applyAlignment="1">
      <alignment vertical="center" wrapText="1"/>
    </xf>
    <xf numFmtId="164" fontId="8" fillId="2" borderId="1" xfId="1" applyNumberFormat="1" applyFont="1" applyFill="1" applyBorder="1" applyAlignment="1">
      <alignment vertical="center" wrapText="1"/>
    </xf>
    <xf numFmtId="164" fontId="8" fillId="2" borderId="0" xfId="1" applyNumberFormat="1" applyFont="1" applyFill="1" applyBorder="1" applyAlignment="1">
      <alignment vertical="center" wrapText="1"/>
    </xf>
    <xf numFmtId="164" fontId="8" fillId="2" borderId="1" xfId="1" applyNumberFormat="1" applyFont="1" applyFill="1" applyBorder="1" applyAlignment="1">
      <alignment horizontal="left" vertical="center" wrapText="1"/>
    </xf>
    <xf numFmtId="0" fontId="1" fillId="2" borderId="1" xfId="0" applyFont="1" applyFill="1" applyBorder="1" applyAlignment="1">
      <alignment horizontal="left" vertical="center" wrapText="1"/>
    </xf>
    <xf numFmtId="164" fontId="8" fillId="2" borderId="0" xfId="1" applyNumberFormat="1" applyFont="1" applyFill="1" applyBorder="1" applyAlignment="1">
      <alignment horizontal="left" vertical="center" wrapText="1"/>
    </xf>
    <xf numFmtId="0" fontId="1" fillId="2" borderId="1" xfId="0" quotePrefix="1" applyFont="1" applyFill="1" applyBorder="1" applyAlignment="1">
      <alignment vertical="center" wrapText="1"/>
    </xf>
    <xf numFmtId="0" fontId="1" fillId="2" borderId="1" xfId="0" quotePrefix="1" applyFont="1" applyFill="1" applyBorder="1" applyAlignment="1">
      <alignment horizontal="left" vertical="center" wrapText="1"/>
    </xf>
    <xf numFmtId="9" fontId="1" fillId="2" borderId="1" xfId="0" applyNumberFormat="1" applyFont="1" applyFill="1" applyBorder="1" applyAlignment="1">
      <alignment vertical="center" wrapText="1"/>
    </xf>
    <xf numFmtId="14" fontId="1" fillId="2" borderId="1" xfId="0" applyNumberFormat="1" applyFont="1" applyFill="1" applyBorder="1" applyAlignment="1">
      <alignment horizontal="left" vertical="center" wrapText="1"/>
    </xf>
    <xf numFmtId="164" fontId="1" fillId="2" borderId="1" xfId="0" applyNumberFormat="1" applyFont="1" applyFill="1" applyBorder="1" applyAlignment="1">
      <alignment vertical="center" wrapText="1"/>
    </xf>
    <xf numFmtId="14" fontId="1" fillId="2" borderId="1" xfId="0" quotePrefix="1" applyNumberFormat="1" applyFont="1" applyFill="1" applyBorder="1" applyAlignment="1">
      <alignment horizontal="left" vertical="center" wrapText="1"/>
    </xf>
    <xf numFmtId="164" fontId="8" fillId="2" borderId="0" xfId="0" applyNumberFormat="1" applyFont="1" applyFill="1" applyAlignment="1">
      <alignment vertical="center" wrapText="1"/>
    </xf>
    <xf numFmtId="43" fontId="1" fillId="2" borderId="0" xfId="0" applyNumberFormat="1" applyFont="1" applyFill="1" applyAlignment="1">
      <alignment vertical="center" wrapText="1"/>
    </xf>
    <xf numFmtId="0" fontId="1" fillId="0" borderId="1" xfId="0" applyFont="1" applyBorder="1" applyAlignment="1">
      <alignment horizontal="left" vertical="center" wrapText="1"/>
    </xf>
    <xf numFmtId="0" fontId="0" fillId="0" borderId="1" xfId="0" applyBorder="1" applyAlignment="1">
      <alignment horizontal="center"/>
    </xf>
    <xf numFmtId="49" fontId="0" fillId="0" borderId="1" xfId="0" applyNumberFormat="1" applyBorder="1" applyAlignment="1">
      <alignment horizontal="center"/>
    </xf>
    <xf numFmtId="4" fontId="0" fillId="0" borderId="1" xfId="0" applyNumberFormat="1" applyBorder="1" applyAlignment="1">
      <alignment horizontal="center"/>
    </xf>
    <xf numFmtId="2" fontId="4" fillId="0" borderId="0" xfId="0" applyNumberFormat="1" applyFont="1" applyAlignment="1">
      <alignment vertical="center" wrapText="1"/>
    </xf>
    <xf numFmtId="2" fontId="6" fillId="0" borderId="1" xfId="0" applyNumberFormat="1" applyFont="1" applyBorder="1" applyAlignment="1">
      <alignment vertical="center" wrapText="1"/>
    </xf>
    <xf numFmtId="2" fontId="1" fillId="0" borderId="1" xfId="0" applyNumberFormat="1" applyFont="1" applyBorder="1" applyAlignment="1">
      <alignment horizontal="left" vertical="center" wrapText="1"/>
    </xf>
    <xf numFmtId="2" fontId="1" fillId="0" borderId="1" xfId="0" applyNumberFormat="1" applyFont="1" applyBorder="1" applyAlignment="1">
      <alignment vertical="center" wrapText="1"/>
    </xf>
    <xf numFmtId="1" fontId="1" fillId="0" borderId="1" xfId="0" quotePrefix="1" applyNumberFormat="1" applyFont="1" applyBorder="1" applyAlignment="1">
      <alignment horizontal="left" vertical="center" wrapText="1"/>
    </xf>
    <xf numFmtId="165" fontId="1" fillId="0" borderId="1" xfId="1" applyNumberFormat="1" applyFont="1" applyBorder="1" applyAlignment="1">
      <alignment horizontal="left" vertical="center" wrapText="1"/>
    </xf>
    <xf numFmtId="0" fontId="0" fillId="0" borderId="1" xfId="0" applyBorder="1" applyAlignment="1">
      <alignment vertical="top" wrapText="1"/>
    </xf>
    <xf numFmtId="3" fontId="4" fillId="0" borderId="1" xfId="0" applyNumberFormat="1" applyFont="1" applyBorder="1"/>
    <xf numFmtId="0" fontId="3" fillId="0" borderId="0" xfId="0" applyFont="1" applyAlignment="1">
      <alignment horizontal="left"/>
    </xf>
    <xf numFmtId="0" fontId="2" fillId="0" borderId="0" xfId="0" applyFont="1" applyAlignment="1">
      <alignment horizontal="center"/>
    </xf>
    <xf numFmtId="0" fontId="7" fillId="0" borderId="0" xfId="0" applyFont="1" applyAlignment="1">
      <alignment horizontal="center"/>
    </xf>
    <xf numFmtId="0" fontId="3" fillId="0" borderId="0" xfId="0" applyFont="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6" fillId="0" borderId="2" xfId="0" applyFont="1" applyBorder="1" applyAlignment="1">
      <alignment horizontal="center" wrapText="1"/>
    </xf>
    <xf numFmtId="0" fontId="6" fillId="0" borderId="3" xfId="0" applyFont="1" applyBorder="1" applyAlignment="1">
      <alignment horizontal="center" wrapText="1"/>
    </xf>
    <xf numFmtId="0" fontId="6" fillId="0" borderId="2" xfId="0" applyFont="1" applyBorder="1" applyAlignment="1">
      <alignment horizontal="center"/>
    </xf>
    <xf numFmtId="0" fontId="6" fillId="0" borderId="3" xfId="0" applyFont="1" applyBorder="1" applyAlignment="1">
      <alignment horizontal="center"/>
    </xf>
    <xf numFmtId="0" fontId="6" fillId="0" borderId="2" xfId="0" applyFont="1" applyBorder="1" applyAlignment="1">
      <alignment horizontal="left"/>
    </xf>
    <xf numFmtId="0" fontId="6" fillId="0" borderId="4" xfId="0" applyFont="1" applyBorder="1" applyAlignment="1">
      <alignment horizontal="left"/>
    </xf>
    <xf numFmtId="0" fontId="6" fillId="0" borderId="3" xfId="0" applyFont="1" applyBorder="1" applyAlignment="1">
      <alignment horizontal="left"/>
    </xf>
    <xf numFmtId="0" fontId="4" fillId="0" borderId="2" xfId="0" applyFont="1" applyBorder="1" applyAlignment="1">
      <alignment horizontal="left"/>
    </xf>
    <xf numFmtId="0" fontId="4" fillId="0" borderId="4" xfId="0" applyFont="1" applyBorder="1" applyAlignment="1">
      <alignment horizontal="left"/>
    </xf>
    <xf numFmtId="0" fontId="4" fillId="0" borderId="3" xfId="0" applyFont="1" applyBorder="1" applyAlignment="1">
      <alignment horizontal="left"/>
    </xf>
    <xf numFmtId="0" fontId="6" fillId="0" borderId="2" xfId="0" applyFont="1" applyBorder="1" applyAlignment="1">
      <alignment horizontal="left" wrapText="1"/>
    </xf>
    <xf numFmtId="0" fontId="6" fillId="0" borderId="4" xfId="0" applyFont="1" applyBorder="1" applyAlignment="1">
      <alignment horizontal="left" wrapText="1"/>
    </xf>
    <xf numFmtId="0" fontId="6" fillId="0" borderId="3" xfId="0" applyFont="1" applyBorder="1" applyAlignment="1">
      <alignment horizontal="left"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8" fillId="2" borderId="0" xfId="0" applyFont="1" applyFill="1" applyAlignment="1">
      <alignment horizontal="left" vertical="center" wrapText="1"/>
    </xf>
    <xf numFmtId="0" fontId="3" fillId="2" borderId="0" xfId="0" applyFont="1" applyFill="1" applyAlignment="1">
      <alignment horizontal="left" vertical="center" wrapText="1"/>
    </xf>
    <xf numFmtId="0" fontId="6" fillId="2" borderId="1" xfId="0" applyFont="1" applyFill="1" applyBorder="1" applyAlignment="1">
      <alignment horizontal="center" vertical="center" wrapText="1"/>
    </xf>
    <xf numFmtId="0" fontId="2" fillId="2" borderId="0" xfId="0" applyFont="1" applyFill="1" applyAlignment="1">
      <alignment horizontal="center" vertical="center" wrapText="1"/>
    </xf>
    <xf numFmtId="0" fontId="3" fillId="2" borderId="0" xfId="0" applyFont="1" applyFill="1" applyAlignment="1">
      <alignment horizontal="center" vertical="center" wrapText="1"/>
    </xf>
    <xf numFmtId="0" fontId="8" fillId="2"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8" fillId="0" borderId="0" xfId="0" applyFont="1" applyAlignment="1">
      <alignment horizontal="left" vertical="center" wrapText="1"/>
    </xf>
    <xf numFmtId="0" fontId="4" fillId="0" borderId="1" xfId="0" applyFont="1" applyBorder="1" applyAlignment="1">
      <alignment horizontal="left" vertical="center" wrapText="1"/>
    </xf>
    <xf numFmtId="0" fontId="8" fillId="0" borderId="1" xfId="0" applyFont="1" applyBorder="1" applyAlignment="1">
      <alignment horizontal="left" vertical="center" wrapText="1"/>
    </xf>
    <xf numFmtId="0" fontId="1" fillId="0" borderId="1" xfId="0" applyFont="1" applyBorder="1" applyAlignment="1">
      <alignment horizontal="left" vertical="center" wrapText="1"/>
    </xf>
    <xf numFmtId="0" fontId="6" fillId="0" borderId="1" xfId="0" applyFont="1" applyBorder="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cellXfs>
  <cellStyles count="2">
    <cellStyle name="Comma" xfId="1" builtinId="3"/>
    <cellStyle name="Normal" xfId="0" builtinId="0"/>
  </cellStyles>
  <dxfs count="2">
    <dxf>
      <fill>
        <patternFill>
          <bgColor theme="5" tint="0.79998168889431442"/>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tabSelected="1" workbookViewId="0">
      <selection activeCell="P21" sqref="P21"/>
    </sheetView>
  </sheetViews>
  <sheetFormatPr defaultRowHeight="15.75" x14ac:dyDescent="0.25"/>
  <cols>
    <col min="1" max="1" width="3.5703125" style="16" customWidth="1"/>
    <col min="2" max="2" width="41.28515625" style="16" customWidth="1"/>
    <col min="3" max="3" width="4.85546875" style="16" customWidth="1"/>
    <col min="4" max="4" width="16.7109375" style="16" customWidth="1"/>
    <col min="5" max="5" width="4.28515625" style="16" customWidth="1"/>
    <col min="6" max="6" width="16.140625" style="16" customWidth="1"/>
    <col min="7" max="16384" width="9.140625" style="16"/>
  </cols>
  <sheetData>
    <row r="1" spans="1:9" s="27" customFormat="1" ht="20.25" x14ac:dyDescent="0.3">
      <c r="A1" s="72" t="s">
        <v>0</v>
      </c>
      <c r="B1" s="72"/>
      <c r="C1" s="72"/>
      <c r="D1" s="72"/>
      <c r="E1" s="72"/>
      <c r="F1" s="72"/>
    </row>
    <row r="2" spans="1:9" s="27" customFormat="1" ht="20.25" x14ac:dyDescent="0.3">
      <c r="A2" s="73" t="s">
        <v>1</v>
      </c>
      <c r="B2" s="73"/>
      <c r="C2" s="73"/>
      <c r="D2" s="73"/>
      <c r="E2" s="73"/>
      <c r="F2" s="73"/>
    </row>
    <row r="3" spans="1:9" s="26" customFormat="1" ht="18.75" x14ac:dyDescent="0.3">
      <c r="A3" s="74" t="s">
        <v>148</v>
      </c>
      <c r="B3" s="74"/>
      <c r="C3" s="74"/>
      <c r="D3" s="74"/>
      <c r="E3" s="74"/>
      <c r="F3" s="74"/>
    </row>
    <row r="4" spans="1:9" s="26" customFormat="1" ht="18.75" x14ac:dyDescent="0.3">
      <c r="A4" s="74" t="s">
        <v>2</v>
      </c>
      <c r="B4" s="74"/>
      <c r="C4" s="74"/>
      <c r="D4" s="74"/>
      <c r="E4" s="74"/>
      <c r="F4" s="74"/>
    </row>
    <row r="5" spans="1:9" s="26" customFormat="1" ht="18.75" x14ac:dyDescent="0.3">
      <c r="A5" s="71" t="s">
        <v>149</v>
      </c>
      <c r="B5" s="71"/>
      <c r="C5" s="71"/>
      <c r="D5" s="71"/>
      <c r="E5" s="71"/>
      <c r="F5" s="71"/>
    </row>
    <row r="6" spans="1:9" s="26" customFormat="1" ht="18.75" x14ac:dyDescent="0.3">
      <c r="A6" s="71" t="s">
        <v>150</v>
      </c>
      <c r="B6" s="71"/>
      <c r="C6" s="71"/>
      <c r="D6" s="71"/>
      <c r="E6" s="71"/>
      <c r="F6" s="71"/>
      <c r="G6" s="71"/>
      <c r="H6" s="71"/>
      <c r="I6" s="71"/>
    </row>
    <row r="7" spans="1:9" s="26" customFormat="1" ht="18.75" x14ac:dyDescent="0.3">
      <c r="A7" s="71" t="s">
        <v>151</v>
      </c>
      <c r="B7" s="71"/>
      <c r="C7" s="71"/>
      <c r="D7" s="71"/>
      <c r="E7" s="71"/>
      <c r="F7" s="71"/>
      <c r="G7" s="71"/>
      <c r="H7" s="71"/>
      <c r="I7" s="71"/>
    </row>
    <row r="9" spans="1:9" ht="27" customHeight="1" x14ac:dyDescent="0.25">
      <c r="A9" s="17" t="s">
        <v>3</v>
      </c>
      <c r="B9" s="17" t="s">
        <v>16</v>
      </c>
      <c r="C9" s="77" t="s">
        <v>43</v>
      </c>
      <c r="D9" s="78"/>
      <c r="E9" s="79" t="s">
        <v>44</v>
      </c>
      <c r="F9" s="80"/>
    </row>
    <row r="10" spans="1:9" x14ac:dyDescent="0.25">
      <c r="A10" s="18" t="s">
        <v>4</v>
      </c>
      <c r="B10" s="17" t="s">
        <v>45</v>
      </c>
      <c r="C10" s="75" t="s">
        <v>46</v>
      </c>
      <c r="D10" s="76"/>
      <c r="E10" s="75"/>
      <c r="F10" s="76"/>
    </row>
    <row r="11" spans="1:9" x14ac:dyDescent="0.25">
      <c r="A11" s="18" t="s">
        <v>5</v>
      </c>
      <c r="B11" s="81" t="s">
        <v>17</v>
      </c>
      <c r="C11" s="82"/>
      <c r="D11" s="83"/>
      <c r="E11" s="19" t="s">
        <v>47</v>
      </c>
      <c r="F11" s="70">
        <v>4275034</v>
      </c>
    </row>
    <row r="12" spans="1:9" x14ac:dyDescent="0.25">
      <c r="A12" s="18" t="s">
        <v>6</v>
      </c>
      <c r="B12" s="81" t="s">
        <v>18</v>
      </c>
      <c r="C12" s="82"/>
      <c r="D12" s="82"/>
      <c r="E12" s="82"/>
      <c r="F12" s="83"/>
    </row>
    <row r="13" spans="1:9" x14ac:dyDescent="0.25">
      <c r="A13" s="18" t="s">
        <v>7</v>
      </c>
      <c r="B13" s="81" t="s">
        <v>19</v>
      </c>
      <c r="C13" s="82"/>
      <c r="D13" s="82"/>
      <c r="E13" s="82"/>
      <c r="F13" s="83"/>
    </row>
    <row r="14" spans="1:9" x14ac:dyDescent="0.25">
      <c r="A14" s="18">
        <v>1</v>
      </c>
      <c r="B14" s="20" t="s">
        <v>20</v>
      </c>
      <c r="C14" s="17" t="s">
        <v>48</v>
      </c>
      <c r="D14" s="21">
        <f>'Bảng kê mua vào'!E59</f>
        <v>145215937</v>
      </c>
      <c r="E14" s="17" t="s">
        <v>49</v>
      </c>
      <c r="F14" s="21">
        <f>'Bảng kê mua vào'!G59</f>
        <v>12059273.640000001</v>
      </c>
    </row>
    <row r="15" spans="1:9" x14ac:dyDescent="0.25">
      <c r="A15" s="18">
        <v>2</v>
      </c>
      <c r="B15" s="84" t="s">
        <v>21</v>
      </c>
      <c r="C15" s="85"/>
      <c r="D15" s="86"/>
      <c r="E15" s="17" t="s">
        <v>50</v>
      </c>
      <c r="F15" s="21">
        <f>F14</f>
        <v>12059273.640000001</v>
      </c>
    </row>
    <row r="16" spans="1:9" x14ac:dyDescent="0.25">
      <c r="A16" s="18" t="s">
        <v>8</v>
      </c>
      <c r="B16" s="81" t="s">
        <v>22</v>
      </c>
      <c r="C16" s="82"/>
      <c r="D16" s="82"/>
      <c r="E16" s="82"/>
      <c r="F16" s="83"/>
    </row>
    <row r="17" spans="1:6" x14ac:dyDescent="0.25">
      <c r="A17" s="18">
        <v>1</v>
      </c>
      <c r="B17" s="20" t="s">
        <v>23</v>
      </c>
      <c r="C17" s="17" t="s">
        <v>51</v>
      </c>
      <c r="D17" s="20"/>
      <c r="E17" s="75"/>
      <c r="F17" s="76"/>
    </row>
    <row r="18" spans="1:6" ht="47.25" x14ac:dyDescent="0.25">
      <c r="A18" s="18">
        <v>2</v>
      </c>
      <c r="B18" s="22" t="s">
        <v>40</v>
      </c>
      <c r="C18" s="17" t="s">
        <v>52</v>
      </c>
      <c r="D18" s="23">
        <f>D21</f>
        <v>194144016.09999999</v>
      </c>
      <c r="E18" s="17" t="s">
        <v>58</v>
      </c>
      <c r="F18" s="23">
        <f>F21</f>
        <v>11890521</v>
      </c>
    </row>
    <row r="19" spans="1:6" x14ac:dyDescent="0.25">
      <c r="A19" s="24" t="s">
        <v>9</v>
      </c>
      <c r="B19" s="20" t="s">
        <v>25</v>
      </c>
      <c r="C19" s="20" t="s">
        <v>53</v>
      </c>
      <c r="D19" s="20"/>
      <c r="E19" s="75"/>
      <c r="F19" s="76"/>
    </row>
    <row r="20" spans="1:6" x14ac:dyDescent="0.25">
      <c r="A20" s="24" t="s">
        <v>10</v>
      </c>
      <c r="B20" s="20" t="s">
        <v>26</v>
      </c>
      <c r="C20" s="20" t="s">
        <v>54</v>
      </c>
      <c r="D20" s="21">
        <f>'Bảng kê bán ra'!E17</f>
        <v>0</v>
      </c>
      <c r="E20" s="17" t="s">
        <v>59</v>
      </c>
      <c r="F20" s="21">
        <f>'Bảng kê bán ra'!G17</f>
        <v>0</v>
      </c>
    </row>
    <row r="21" spans="1:6" x14ac:dyDescent="0.25">
      <c r="A21" s="24" t="s">
        <v>11</v>
      </c>
      <c r="B21" s="20" t="s">
        <v>27</v>
      </c>
      <c r="C21" s="20" t="s">
        <v>55</v>
      </c>
      <c r="D21" s="21">
        <f>'Bảng kê bán ra'!E32</f>
        <v>194144016.09999999</v>
      </c>
      <c r="E21" s="17" t="s">
        <v>60</v>
      </c>
      <c r="F21" s="25">
        <f>'Bảng kê bán ra'!G32</f>
        <v>11890521</v>
      </c>
    </row>
    <row r="22" spans="1:6" x14ac:dyDescent="0.25">
      <c r="A22" s="24" t="s">
        <v>24</v>
      </c>
      <c r="B22" s="20" t="s">
        <v>28</v>
      </c>
      <c r="C22" s="20" t="s">
        <v>56</v>
      </c>
      <c r="D22" s="20"/>
      <c r="E22" s="79"/>
      <c r="F22" s="80"/>
    </row>
    <row r="23" spans="1:6" x14ac:dyDescent="0.25">
      <c r="A23" s="18">
        <v>3</v>
      </c>
      <c r="B23" s="20" t="s">
        <v>29</v>
      </c>
      <c r="C23" s="17" t="s">
        <v>57</v>
      </c>
      <c r="D23" s="23">
        <f>D21</f>
        <v>194144016.09999999</v>
      </c>
      <c r="E23" s="17" t="s">
        <v>61</v>
      </c>
      <c r="F23" s="25">
        <f>F21</f>
        <v>11890521</v>
      </c>
    </row>
    <row r="24" spans="1:6" x14ac:dyDescent="0.25">
      <c r="A24" s="18" t="s">
        <v>12</v>
      </c>
      <c r="B24" s="17" t="s">
        <v>30</v>
      </c>
      <c r="C24" s="20"/>
      <c r="D24" s="20"/>
      <c r="E24" s="17" t="s">
        <v>62</v>
      </c>
      <c r="F24" s="25">
        <f>F23-F15</f>
        <v>-168752.6400000006</v>
      </c>
    </row>
    <row r="25" spans="1:6" x14ac:dyDescent="0.25">
      <c r="A25" s="18" t="s">
        <v>13</v>
      </c>
      <c r="B25" s="81" t="s">
        <v>31</v>
      </c>
      <c r="C25" s="82"/>
      <c r="D25" s="82"/>
      <c r="E25" s="82"/>
      <c r="F25" s="83"/>
    </row>
    <row r="26" spans="1:6" x14ac:dyDescent="0.25">
      <c r="A26" s="18">
        <v>1</v>
      </c>
      <c r="B26" s="84" t="s">
        <v>32</v>
      </c>
      <c r="C26" s="85"/>
      <c r="D26" s="86"/>
      <c r="E26" s="17" t="s">
        <v>63</v>
      </c>
      <c r="F26" s="20"/>
    </row>
    <row r="27" spans="1:6" x14ac:dyDescent="0.25">
      <c r="A27" s="18">
        <v>2</v>
      </c>
      <c r="B27" s="84" t="s">
        <v>33</v>
      </c>
      <c r="C27" s="85"/>
      <c r="D27" s="86"/>
      <c r="E27" s="17" t="s">
        <v>64</v>
      </c>
      <c r="F27" s="20"/>
    </row>
    <row r="28" spans="1:6" ht="30.75" customHeight="1" x14ac:dyDescent="0.25">
      <c r="A28" s="18" t="s">
        <v>14</v>
      </c>
      <c r="B28" s="87" t="s">
        <v>41</v>
      </c>
      <c r="C28" s="88"/>
      <c r="D28" s="89"/>
      <c r="E28" s="17" t="s">
        <v>65</v>
      </c>
      <c r="F28" s="20"/>
    </row>
    <row r="29" spans="1:6" x14ac:dyDescent="0.25">
      <c r="A29" s="18" t="s">
        <v>15</v>
      </c>
      <c r="B29" s="81" t="s">
        <v>34</v>
      </c>
      <c r="C29" s="82"/>
      <c r="D29" s="82"/>
      <c r="E29" s="82"/>
      <c r="F29" s="83"/>
    </row>
    <row r="30" spans="1:6" ht="29.25" customHeight="1" x14ac:dyDescent="0.25">
      <c r="A30" s="18">
        <v>1</v>
      </c>
      <c r="B30" s="87" t="s">
        <v>42</v>
      </c>
      <c r="C30" s="88"/>
      <c r="D30" s="89"/>
      <c r="E30" s="17" t="s">
        <v>66</v>
      </c>
      <c r="F30" s="23">
        <f>F24-F11</f>
        <v>-4443786.6400000006</v>
      </c>
    </row>
    <row r="31" spans="1:6" ht="29.25" customHeight="1" x14ac:dyDescent="0.25">
      <c r="A31" s="18">
        <v>2</v>
      </c>
      <c r="B31" s="87" t="s">
        <v>39</v>
      </c>
      <c r="C31" s="88"/>
      <c r="D31" s="89"/>
      <c r="E31" s="17" t="s">
        <v>67</v>
      </c>
      <c r="F31" s="20"/>
    </row>
    <row r="32" spans="1:6" x14ac:dyDescent="0.25">
      <c r="A32" s="18">
        <v>3</v>
      </c>
      <c r="B32" s="81" t="s">
        <v>35</v>
      </c>
      <c r="C32" s="82"/>
      <c r="D32" s="83"/>
      <c r="E32" s="17" t="s">
        <v>68</v>
      </c>
      <c r="F32" s="23">
        <f>F30</f>
        <v>-4443786.6400000006</v>
      </c>
    </row>
    <row r="33" spans="1:6" x14ac:dyDescent="0.25">
      <c r="A33" s="18">
        <v>4</v>
      </c>
      <c r="B33" s="81" t="s">
        <v>36</v>
      </c>
      <c r="C33" s="82"/>
      <c r="D33" s="83"/>
      <c r="E33" s="17" t="s">
        <v>69</v>
      </c>
      <c r="F33" s="23"/>
    </row>
    <row r="34" spans="1:6" x14ac:dyDescent="0.25">
      <c r="A34" s="18">
        <v>4.0999999999999996</v>
      </c>
      <c r="B34" s="81" t="s">
        <v>37</v>
      </c>
      <c r="C34" s="82"/>
      <c r="D34" s="83"/>
      <c r="E34" s="17" t="s">
        <v>70</v>
      </c>
      <c r="F34" s="20"/>
    </row>
    <row r="35" spans="1:6" x14ac:dyDescent="0.25">
      <c r="A35" s="18">
        <v>4.2</v>
      </c>
      <c r="B35" s="81" t="s">
        <v>38</v>
      </c>
      <c r="C35" s="82"/>
      <c r="D35" s="83"/>
      <c r="E35" s="17" t="s">
        <v>71</v>
      </c>
      <c r="F35" s="23"/>
    </row>
    <row r="36" spans="1:6" x14ac:dyDescent="0.25">
      <c r="A36" s="3"/>
    </row>
  </sheetData>
  <mergeCells count="30">
    <mergeCell ref="B34:D34"/>
    <mergeCell ref="B35:D35"/>
    <mergeCell ref="B28:D28"/>
    <mergeCell ref="B29:F29"/>
    <mergeCell ref="B30:D30"/>
    <mergeCell ref="B31:D31"/>
    <mergeCell ref="B32:D32"/>
    <mergeCell ref="B33:D33"/>
    <mergeCell ref="E19:F19"/>
    <mergeCell ref="E22:F22"/>
    <mergeCell ref="B25:F25"/>
    <mergeCell ref="B26:D26"/>
    <mergeCell ref="B27:D27"/>
    <mergeCell ref="E17:F17"/>
    <mergeCell ref="C9:D9"/>
    <mergeCell ref="E9:F9"/>
    <mergeCell ref="C10:D10"/>
    <mergeCell ref="E10:F10"/>
    <mergeCell ref="B11:D11"/>
    <mergeCell ref="B12:F12"/>
    <mergeCell ref="B13:F13"/>
    <mergeCell ref="B15:D15"/>
    <mergeCell ref="B16:F16"/>
    <mergeCell ref="A6:I6"/>
    <mergeCell ref="A7:I7"/>
    <mergeCell ref="A1:F1"/>
    <mergeCell ref="A2:F2"/>
    <mergeCell ref="A3:F3"/>
    <mergeCell ref="A4:F4"/>
    <mergeCell ref="A5:F5"/>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workbookViewId="0">
      <selection activeCell="J38" sqref="J38"/>
    </sheetView>
  </sheetViews>
  <sheetFormatPr defaultRowHeight="15" x14ac:dyDescent="0.25"/>
  <cols>
    <col min="1" max="1" width="3.5703125" style="4" customWidth="1"/>
    <col min="2" max="2" width="7.7109375" style="4" customWidth="1"/>
    <col min="3" max="3" width="12.5703125" style="4" customWidth="1"/>
    <col min="4" max="4" width="44.85546875" style="4" bestFit="1" customWidth="1"/>
    <col min="5" max="5" width="17.7109375" style="4" customWidth="1"/>
    <col min="6" max="6" width="18.7109375" style="4" customWidth="1"/>
    <col min="7" max="8" width="15.85546875" style="4" customWidth="1"/>
    <col min="9" max="9" width="20.140625" style="4" customWidth="1"/>
    <col min="10" max="16384" width="9.140625" style="4"/>
  </cols>
  <sheetData>
    <row r="1" spans="1:8" ht="20.25" x14ac:dyDescent="0.25">
      <c r="A1" s="95" t="s">
        <v>82</v>
      </c>
      <c r="B1" s="95"/>
      <c r="C1" s="95"/>
      <c r="D1" s="95"/>
      <c r="E1" s="95"/>
      <c r="F1" s="95"/>
    </row>
    <row r="2" spans="1:8" ht="20.25" x14ac:dyDescent="0.25">
      <c r="A2" s="95" t="s">
        <v>83</v>
      </c>
      <c r="B2" s="95"/>
      <c r="C2" s="95"/>
      <c r="D2" s="95"/>
      <c r="E2" s="95"/>
      <c r="F2" s="95"/>
    </row>
    <row r="3" spans="1:8" ht="18.75" x14ac:dyDescent="0.25">
      <c r="A3" s="96" t="str">
        <f>'Tờ khai'!A3:F3</f>
        <v>Kỳ tính thuế : Quý 02 Năm 2026</v>
      </c>
      <c r="B3" s="96"/>
      <c r="C3" s="96"/>
      <c r="D3" s="96"/>
      <c r="E3" s="96"/>
      <c r="F3" s="96"/>
    </row>
    <row r="4" spans="1:8" ht="18.75" x14ac:dyDescent="0.25">
      <c r="A4" s="93" t="str">
        <f>'Tờ khai'!A5:F5</f>
        <v>Mã số thuế :4401053694</v>
      </c>
      <c r="B4" s="93"/>
      <c r="C4" s="93"/>
      <c r="D4" s="93"/>
      <c r="E4" s="93"/>
      <c r="F4" s="93"/>
    </row>
    <row r="5" spans="1:8" ht="18.75" x14ac:dyDescent="0.25">
      <c r="A5" s="93" t="str">
        <f>'Tờ khai'!A6:F6</f>
        <v>Tên người nộp thuế : CÔNG TY CỔ PHẦN ĐẦU TƯ VÀ PHÁT TRIỂN CÔNG NGHỆ INUT</v>
      </c>
      <c r="B5" s="93"/>
      <c r="C5" s="93"/>
      <c r="D5" s="93"/>
      <c r="E5" s="93"/>
      <c r="F5" s="93"/>
    </row>
    <row r="6" spans="1:8" ht="18.75" x14ac:dyDescent="0.25">
      <c r="A6" s="93" t="str">
        <f>'Tờ khai'!A7:F7</f>
        <v>Địa chỉ :161 Trường Chinh, Phường Tuy Hòa, Tỉnh Đắk Lắk, Việt Nam</v>
      </c>
      <c r="B6" s="93"/>
      <c r="C6" s="93"/>
      <c r="D6" s="93"/>
      <c r="E6" s="93"/>
      <c r="F6" s="93"/>
    </row>
    <row r="7" spans="1:8" s="15" customFormat="1" ht="15.75" x14ac:dyDescent="0.25">
      <c r="A7" s="90" t="s">
        <v>3</v>
      </c>
      <c r="B7" s="94" t="s">
        <v>72</v>
      </c>
      <c r="C7" s="94"/>
      <c r="D7" s="94" t="s">
        <v>75</v>
      </c>
      <c r="E7" s="94" t="s">
        <v>76</v>
      </c>
      <c r="F7" s="90" t="s">
        <v>77</v>
      </c>
      <c r="G7" s="94" t="s">
        <v>78</v>
      </c>
      <c r="H7" s="14"/>
    </row>
    <row r="8" spans="1:8" s="15" customFormat="1" ht="63" x14ac:dyDescent="0.25">
      <c r="A8" s="91"/>
      <c r="B8" s="2" t="s">
        <v>73</v>
      </c>
      <c r="C8" s="2" t="s">
        <v>74</v>
      </c>
      <c r="D8" s="94"/>
      <c r="E8" s="94"/>
      <c r="F8" s="91"/>
      <c r="G8" s="94"/>
      <c r="H8" s="14"/>
    </row>
    <row r="9" spans="1:8" x14ac:dyDescent="0.25">
      <c r="A9" s="98" t="s">
        <v>79</v>
      </c>
      <c r="B9" s="98"/>
      <c r="C9" s="98"/>
      <c r="D9" s="98"/>
      <c r="E9" s="98"/>
      <c r="F9" s="98"/>
      <c r="G9" s="98"/>
      <c r="H9" s="5"/>
    </row>
    <row r="10" spans="1:8" x14ac:dyDescent="0.25">
      <c r="A10" s="43"/>
      <c r="B10" s="43"/>
      <c r="C10" s="43"/>
      <c r="D10" s="43"/>
      <c r="E10" s="44"/>
      <c r="F10" s="43"/>
      <c r="G10" s="44"/>
      <c r="H10" s="45"/>
    </row>
    <row r="11" spans="1:8" x14ac:dyDescent="0.25">
      <c r="A11" s="97" t="s">
        <v>80</v>
      </c>
      <c r="B11" s="97"/>
      <c r="C11" s="97"/>
      <c r="D11" s="97"/>
      <c r="E11" s="46"/>
      <c r="F11" s="43"/>
      <c r="G11" s="46"/>
      <c r="H11" s="47"/>
    </row>
    <row r="12" spans="1:8" x14ac:dyDescent="0.25">
      <c r="A12" s="98" t="s">
        <v>81</v>
      </c>
      <c r="B12" s="98"/>
      <c r="C12" s="98"/>
      <c r="D12" s="98"/>
      <c r="E12" s="98"/>
      <c r="F12" s="98"/>
      <c r="G12" s="98"/>
      <c r="H12" s="5"/>
    </row>
    <row r="13" spans="1:8" x14ac:dyDescent="0.25">
      <c r="A13" s="43"/>
      <c r="B13" s="43"/>
      <c r="C13" s="43"/>
      <c r="D13" s="43"/>
      <c r="E13" s="44"/>
      <c r="F13" s="43"/>
      <c r="G13" s="44"/>
      <c r="H13" s="45"/>
    </row>
    <row r="14" spans="1:8" s="5" customFormat="1" x14ac:dyDescent="0.25">
      <c r="A14" s="97" t="s">
        <v>80</v>
      </c>
      <c r="B14" s="97"/>
      <c r="C14" s="97"/>
      <c r="D14" s="97"/>
      <c r="E14" s="48"/>
      <c r="F14" s="49"/>
      <c r="G14" s="48"/>
      <c r="H14" s="50"/>
    </row>
    <row r="15" spans="1:8" x14ac:dyDescent="0.25">
      <c r="A15" s="98" t="s">
        <v>91</v>
      </c>
      <c r="B15" s="98"/>
      <c r="C15" s="98"/>
      <c r="D15" s="98"/>
      <c r="E15" s="98"/>
      <c r="F15" s="98"/>
      <c r="G15" s="98"/>
      <c r="H15" s="5"/>
    </row>
    <row r="16" spans="1:8" x14ac:dyDescent="0.25">
      <c r="A16" s="43"/>
      <c r="B16" s="51"/>
      <c r="C16" s="52"/>
      <c r="D16" s="43"/>
      <c r="E16" s="44"/>
      <c r="F16" s="53"/>
      <c r="G16" s="44">
        <f>E16*F16</f>
        <v>0</v>
      </c>
      <c r="H16" s="45"/>
    </row>
    <row r="17" spans="1:10" s="5" customFormat="1" x14ac:dyDescent="0.25">
      <c r="A17" s="97" t="s">
        <v>80</v>
      </c>
      <c r="B17" s="97"/>
      <c r="C17" s="97"/>
      <c r="D17" s="97"/>
      <c r="E17" s="48">
        <f>E16</f>
        <v>0</v>
      </c>
      <c r="F17" s="49"/>
      <c r="G17" s="48">
        <f>G16</f>
        <v>0</v>
      </c>
      <c r="H17" s="50"/>
    </row>
    <row r="18" spans="1:10" x14ac:dyDescent="0.25">
      <c r="A18" s="98" t="s">
        <v>92</v>
      </c>
      <c r="B18" s="98"/>
      <c r="C18" s="98"/>
      <c r="D18" s="98"/>
      <c r="E18" s="98"/>
      <c r="F18" s="98"/>
      <c r="G18" s="98"/>
      <c r="H18" s="5"/>
      <c r="I18" s="4" t="s">
        <v>101</v>
      </c>
    </row>
    <row r="19" spans="1:10" x14ac:dyDescent="0.25">
      <c r="A19" s="51" t="s">
        <v>96</v>
      </c>
      <c r="B19" s="60">
        <v>5</v>
      </c>
      <c r="C19" s="61" t="s">
        <v>152</v>
      </c>
      <c r="D19" s="60" t="s">
        <v>162</v>
      </c>
      <c r="E19" s="62">
        <v>29239998</v>
      </c>
      <c r="F19" s="53">
        <v>0.08</v>
      </c>
      <c r="G19" s="62">
        <v>2339200</v>
      </c>
      <c r="H19" s="44">
        <f t="shared" ref="H19:H31" si="0">E19*F19</f>
        <v>2339199.84</v>
      </c>
      <c r="I19" s="55">
        <f>E19+G19</f>
        <v>31579198</v>
      </c>
      <c r="J19" s="6">
        <f>G19-H19</f>
        <v>0.16000000014901161</v>
      </c>
    </row>
    <row r="20" spans="1:10" x14ac:dyDescent="0.25">
      <c r="A20" s="51" t="s">
        <v>97</v>
      </c>
      <c r="B20" s="60">
        <v>6</v>
      </c>
      <c r="C20" s="61" t="s">
        <v>153</v>
      </c>
      <c r="D20" s="60" t="s">
        <v>162</v>
      </c>
      <c r="E20" s="62">
        <v>30000000</v>
      </c>
      <c r="F20" s="53">
        <v>0</v>
      </c>
      <c r="G20" s="62">
        <v>0</v>
      </c>
      <c r="H20" s="44">
        <f t="shared" si="0"/>
        <v>0</v>
      </c>
      <c r="I20" s="55">
        <f t="shared" ref="I20:I31" si="1">E20+G20</f>
        <v>30000000</v>
      </c>
      <c r="J20" s="6">
        <f t="shared" ref="J20:J34" si="2">G20-H20</f>
        <v>0</v>
      </c>
    </row>
    <row r="21" spans="1:10" x14ac:dyDescent="0.25">
      <c r="A21" s="51" t="s">
        <v>98</v>
      </c>
      <c r="B21" s="60">
        <v>7</v>
      </c>
      <c r="C21" s="61" t="s">
        <v>154</v>
      </c>
      <c r="D21" s="60" t="s">
        <v>163</v>
      </c>
      <c r="E21" s="62">
        <v>1340000</v>
      </c>
      <c r="F21" s="53">
        <v>0.08</v>
      </c>
      <c r="G21" s="62">
        <v>107200</v>
      </c>
      <c r="H21" s="44">
        <f t="shared" si="0"/>
        <v>107200</v>
      </c>
      <c r="I21" s="55">
        <f t="shared" si="1"/>
        <v>1447200</v>
      </c>
      <c r="J21" s="6">
        <f t="shared" si="2"/>
        <v>0</v>
      </c>
    </row>
    <row r="22" spans="1:10" x14ac:dyDescent="0.25">
      <c r="A22" s="51" t="s">
        <v>99</v>
      </c>
      <c r="B22" s="60">
        <v>8</v>
      </c>
      <c r="C22" s="61" t="s">
        <v>155</v>
      </c>
      <c r="D22" s="60" t="s">
        <v>164</v>
      </c>
      <c r="E22" s="62">
        <v>10600000</v>
      </c>
      <c r="F22" s="53">
        <v>0.08</v>
      </c>
      <c r="G22" s="62">
        <v>848000</v>
      </c>
      <c r="H22" s="44">
        <f t="shared" si="0"/>
        <v>848000</v>
      </c>
      <c r="I22" s="55">
        <f t="shared" si="1"/>
        <v>11448000</v>
      </c>
      <c r="J22" s="6">
        <f t="shared" si="2"/>
        <v>0</v>
      </c>
    </row>
    <row r="23" spans="1:10" x14ac:dyDescent="0.25">
      <c r="A23" s="51" t="s">
        <v>100</v>
      </c>
      <c r="B23" s="60">
        <v>9</v>
      </c>
      <c r="C23" s="61" t="s">
        <v>156</v>
      </c>
      <c r="D23" s="60" t="s">
        <v>165</v>
      </c>
      <c r="E23" s="62">
        <v>3300000</v>
      </c>
      <c r="F23" s="53">
        <v>0.08</v>
      </c>
      <c r="G23" s="62">
        <v>264000</v>
      </c>
      <c r="H23" s="44">
        <f t="shared" si="0"/>
        <v>264000</v>
      </c>
      <c r="I23" s="55">
        <f t="shared" si="1"/>
        <v>3564000</v>
      </c>
      <c r="J23" s="6">
        <f t="shared" si="2"/>
        <v>0</v>
      </c>
    </row>
    <row r="24" spans="1:10" x14ac:dyDescent="0.25">
      <c r="A24" s="51" t="s">
        <v>103</v>
      </c>
      <c r="B24" s="60">
        <v>10</v>
      </c>
      <c r="C24" s="61" t="s">
        <v>157</v>
      </c>
      <c r="D24" s="60" t="s">
        <v>165</v>
      </c>
      <c r="E24" s="62">
        <v>7060000</v>
      </c>
      <c r="F24" s="53">
        <v>0.08</v>
      </c>
      <c r="G24" s="62">
        <v>564800</v>
      </c>
      <c r="H24" s="44">
        <f t="shared" si="0"/>
        <v>564800</v>
      </c>
      <c r="I24" s="55">
        <f t="shared" si="1"/>
        <v>7624800</v>
      </c>
      <c r="J24" s="6">
        <f t="shared" si="2"/>
        <v>0</v>
      </c>
    </row>
    <row r="25" spans="1:10" x14ac:dyDescent="0.25">
      <c r="A25" s="51" t="s">
        <v>104</v>
      </c>
      <c r="B25" s="60">
        <v>11</v>
      </c>
      <c r="C25" s="61" t="s">
        <v>158</v>
      </c>
      <c r="D25" s="60" t="s">
        <v>165</v>
      </c>
      <c r="E25" s="62">
        <v>3530000</v>
      </c>
      <c r="F25" s="53">
        <v>0.08</v>
      </c>
      <c r="G25" s="62">
        <v>282400</v>
      </c>
      <c r="H25" s="44">
        <f t="shared" si="0"/>
        <v>282400</v>
      </c>
      <c r="I25" s="55">
        <f t="shared" si="1"/>
        <v>3812400</v>
      </c>
      <c r="J25" s="6">
        <f t="shared" si="2"/>
        <v>0</v>
      </c>
    </row>
    <row r="26" spans="1:10" x14ac:dyDescent="0.25">
      <c r="A26" s="51" t="s">
        <v>105</v>
      </c>
      <c r="B26" s="60">
        <v>12</v>
      </c>
      <c r="C26" s="61" t="s">
        <v>159</v>
      </c>
      <c r="D26" s="60" t="s">
        <v>165</v>
      </c>
      <c r="E26" s="62">
        <v>6303000</v>
      </c>
      <c r="F26" s="53">
        <v>0.08</v>
      </c>
      <c r="G26" s="62">
        <v>504240</v>
      </c>
      <c r="H26" s="44">
        <f t="shared" si="0"/>
        <v>504240</v>
      </c>
      <c r="I26" s="55">
        <f t="shared" si="1"/>
        <v>6807240</v>
      </c>
      <c r="J26" s="6">
        <f t="shared" si="2"/>
        <v>0</v>
      </c>
    </row>
    <row r="27" spans="1:10" x14ac:dyDescent="0.25">
      <c r="A27" s="51" t="s">
        <v>106</v>
      </c>
      <c r="B27" s="60">
        <v>13</v>
      </c>
      <c r="C27" s="61" t="s">
        <v>160</v>
      </c>
      <c r="D27" s="60" t="s">
        <v>166</v>
      </c>
      <c r="E27" s="62">
        <v>68740000</v>
      </c>
      <c r="F27" s="53">
        <v>0.08</v>
      </c>
      <c r="G27" s="62">
        <v>5499200</v>
      </c>
      <c r="H27" s="44">
        <f t="shared" si="0"/>
        <v>5499200</v>
      </c>
      <c r="I27" s="55">
        <f t="shared" si="1"/>
        <v>74239200</v>
      </c>
      <c r="J27" s="6">
        <f t="shared" si="2"/>
        <v>0</v>
      </c>
    </row>
    <row r="28" spans="1:10" x14ac:dyDescent="0.25">
      <c r="A28" s="51" t="s">
        <v>107</v>
      </c>
      <c r="B28" s="60">
        <v>14</v>
      </c>
      <c r="C28" s="61" t="s">
        <v>160</v>
      </c>
      <c r="D28" s="60" t="s">
        <v>166</v>
      </c>
      <c r="E28" s="62">
        <v>15512500</v>
      </c>
      <c r="F28" s="53">
        <v>0</v>
      </c>
      <c r="G28" s="62">
        <v>0</v>
      </c>
      <c r="H28" s="44">
        <f t="shared" si="0"/>
        <v>0</v>
      </c>
      <c r="I28" s="55">
        <f t="shared" si="1"/>
        <v>15512500</v>
      </c>
      <c r="J28" s="6">
        <f t="shared" si="2"/>
        <v>0</v>
      </c>
    </row>
    <row r="29" spans="1:10" x14ac:dyDescent="0.25">
      <c r="A29" s="51" t="s">
        <v>108</v>
      </c>
      <c r="B29" s="60">
        <v>15</v>
      </c>
      <c r="C29" s="61" t="s">
        <v>161</v>
      </c>
      <c r="D29" s="60" t="s">
        <v>167</v>
      </c>
      <c r="E29" s="62">
        <v>18518518.100000001</v>
      </c>
      <c r="F29" s="53">
        <v>0.08</v>
      </c>
      <c r="G29" s="62">
        <v>1481481</v>
      </c>
      <c r="H29" s="44">
        <f t="shared" si="0"/>
        <v>1481481.4480000001</v>
      </c>
      <c r="I29" s="55">
        <f t="shared" si="1"/>
        <v>19999999.100000001</v>
      </c>
      <c r="J29" s="6">
        <f t="shared" si="2"/>
        <v>-0.44800000009126961</v>
      </c>
    </row>
    <row r="30" spans="1:10" x14ac:dyDescent="0.25">
      <c r="A30" s="51" t="s">
        <v>109</v>
      </c>
      <c r="B30" s="51"/>
      <c r="C30" s="56"/>
      <c r="D30" s="43"/>
      <c r="E30" s="44"/>
      <c r="F30" s="53">
        <v>0.08</v>
      </c>
      <c r="G30" s="44"/>
      <c r="H30" s="44">
        <f t="shared" si="0"/>
        <v>0</v>
      </c>
      <c r="I30" s="55">
        <f t="shared" si="1"/>
        <v>0</v>
      </c>
      <c r="J30" s="6">
        <f t="shared" si="2"/>
        <v>0</v>
      </c>
    </row>
    <row r="31" spans="1:10" x14ac:dyDescent="0.25">
      <c r="A31" s="51" t="s">
        <v>110</v>
      </c>
      <c r="B31" s="51"/>
      <c r="C31" s="54"/>
      <c r="D31" s="43"/>
      <c r="E31" s="44"/>
      <c r="F31" s="53">
        <v>0.08</v>
      </c>
      <c r="G31" s="44"/>
      <c r="H31" s="44">
        <f t="shared" si="0"/>
        <v>0</v>
      </c>
      <c r="I31" s="55">
        <f t="shared" si="1"/>
        <v>0</v>
      </c>
      <c r="J31" s="6">
        <f t="shared" si="2"/>
        <v>0</v>
      </c>
    </row>
    <row r="32" spans="1:10" x14ac:dyDescent="0.25">
      <c r="A32" s="97" t="s">
        <v>80</v>
      </c>
      <c r="B32" s="97"/>
      <c r="C32" s="97"/>
      <c r="D32" s="97"/>
      <c r="E32" s="48">
        <f>SUM(E19:E31)</f>
        <v>194144016.09999999</v>
      </c>
      <c r="F32" s="48"/>
      <c r="G32" s="48">
        <f>SUM(G19:G31)</f>
        <v>11890521</v>
      </c>
      <c r="H32" s="48">
        <f>SUM(H19:H31)</f>
        <v>11890521.288000001</v>
      </c>
      <c r="I32" s="48">
        <f>SUM(I19:I31)</f>
        <v>206034537.09999999</v>
      </c>
      <c r="J32" s="6">
        <f t="shared" si="2"/>
        <v>-0.28800000064074993</v>
      </c>
    </row>
    <row r="33" spans="1:10" x14ac:dyDescent="0.25">
      <c r="A33" s="92" t="s">
        <v>84</v>
      </c>
      <c r="B33" s="92"/>
      <c r="C33" s="92"/>
      <c r="D33" s="92"/>
      <c r="E33" s="57">
        <f>E32+E17</f>
        <v>194144016.09999999</v>
      </c>
      <c r="G33" s="6"/>
      <c r="H33" s="44"/>
      <c r="J33" s="6">
        <f t="shared" si="2"/>
        <v>0</v>
      </c>
    </row>
    <row r="34" spans="1:10" x14ac:dyDescent="0.25">
      <c r="A34" s="92" t="s">
        <v>85</v>
      </c>
      <c r="B34" s="92"/>
      <c r="C34" s="92"/>
      <c r="D34" s="92"/>
      <c r="E34" s="57">
        <f>G17+G32</f>
        <v>11890521</v>
      </c>
      <c r="G34" s="58"/>
      <c r="H34" s="58"/>
      <c r="I34" s="6"/>
      <c r="J34" s="6">
        <f t="shared" si="2"/>
        <v>0</v>
      </c>
    </row>
    <row r="36" spans="1:10" x14ac:dyDescent="0.25">
      <c r="E36" s="6"/>
      <c r="H36" s="6"/>
      <c r="I36" s="6"/>
    </row>
    <row r="37" spans="1:10" x14ac:dyDescent="0.25">
      <c r="E37" s="6"/>
      <c r="H37" s="6"/>
      <c r="I37" s="6"/>
    </row>
    <row r="38" spans="1:10" x14ac:dyDescent="0.25">
      <c r="E38" s="7"/>
    </row>
    <row r="39" spans="1:10" s="5" customFormat="1" x14ac:dyDescent="0.25">
      <c r="A39" s="4"/>
      <c r="B39" s="4"/>
      <c r="C39" s="4"/>
      <c r="D39" s="4"/>
      <c r="E39" s="7"/>
      <c r="F39" s="4"/>
      <c r="G39" s="4"/>
      <c r="H39" s="4"/>
      <c r="I39" s="4"/>
    </row>
  </sheetData>
  <mergeCells count="22">
    <mergeCell ref="G7:G8"/>
    <mergeCell ref="A1:F1"/>
    <mergeCell ref="A2:F2"/>
    <mergeCell ref="A3:F3"/>
    <mergeCell ref="A32:D32"/>
    <mergeCell ref="A7:A8"/>
    <mergeCell ref="A9:G9"/>
    <mergeCell ref="A11:D11"/>
    <mergeCell ref="A12:G12"/>
    <mergeCell ref="A14:D14"/>
    <mergeCell ref="A15:G15"/>
    <mergeCell ref="A17:D17"/>
    <mergeCell ref="A18:G18"/>
    <mergeCell ref="B7:C7"/>
    <mergeCell ref="D7:D8"/>
    <mergeCell ref="E7:E8"/>
    <mergeCell ref="F7:F8"/>
    <mergeCell ref="A33:D33"/>
    <mergeCell ref="A34:D34"/>
    <mergeCell ref="A4:F4"/>
    <mergeCell ref="A5:F5"/>
    <mergeCell ref="A6:F6"/>
  </mergeCells>
  <pageMargins left="0.7" right="0.7" top="0.75" bottom="0.75" header="0.3" footer="0.3"/>
  <pageSetup paperSize="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9"/>
  <sheetViews>
    <sheetView workbookViewId="0">
      <selection activeCell="A8" sqref="A8:A9"/>
    </sheetView>
  </sheetViews>
  <sheetFormatPr defaultRowHeight="15.75" x14ac:dyDescent="0.25"/>
  <cols>
    <col min="1" max="1" width="2.85546875" style="9" customWidth="1"/>
    <col min="2" max="2" width="13.140625" style="63" customWidth="1"/>
    <col min="3" max="3" width="10.7109375" style="9" bestFit="1" customWidth="1"/>
    <col min="4" max="4" width="49.42578125" style="9" customWidth="1"/>
    <col min="5" max="5" width="15.28515625" style="9" customWidth="1"/>
    <col min="6" max="6" width="6.140625" style="9" customWidth="1"/>
    <col min="7" max="8" width="15.5703125" style="9" customWidth="1"/>
    <col min="9" max="9" width="17" style="9" customWidth="1"/>
    <col min="10" max="10" width="9.140625" style="9"/>
    <col min="11" max="11" width="37.140625" style="9" customWidth="1"/>
    <col min="12" max="12" width="10.7109375" style="9" bestFit="1" customWidth="1"/>
    <col min="13" max="16384" width="9.140625" style="9"/>
  </cols>
  <sheetData>
    <row r="1" spans="1:11" s="12" customFormat="1" ht="20.25" x14ac:dyDescent="0.25">
      <c r="A1" s="104" t="s">
        <v>82</v>
      </c>
      <c r="B1" s="104"/>
      <c r="C1" s="104"/>
      <c r="D1" s="104"/>
      <c r="E1" s="104"/>
      <c r="F1" s="104"/>
    </row>
    <row r="2" spans="1:11" s="12" customFormat="1" ht="20.25" x14ac:dyDescent="0.25">
      <c r="A2" s="104" t="s">
        <v>117</v>
      </c>
      <c r="B2" s="104"/>
      <c r="C2" s="104"/>
      <c r="D2" s="104"/>
      <c r="E2" s="104"/>
      <c r="F2" s="104"/>
    </row>
    <row r="3" spans="1:11" s="13" customFormat="1" ht="18.75" x14ac:dyDescent="0.25">
      <c r="A3" s="105" t="str">
        <f>'Tờ khai'!A3:F3</f>
        <v>Kỳ tính thuế : Quý 02 Năm 2026</v>
      </c>
      <c r="B3" s="105"/>
      <c r="C3" s="105"/>
      <c r="D3" s="105"/>
      <c r="E3" s="105"/>
      <c r="F3" s="105"/>
    </row>
    <row r="4" spans="1:11" s="13" customFormat="1" ht="18.75" x14ac:dyDescent="0.25">
      <c r="A4" s="106" t="str">
        <f>'Tờ khai'!A5:F5</f>
        <v>Mã số thuế :4401053694</v>
      </c>
      <c r="B4" s="106"/>
      <c r="C4" s="106"/>
      <c r="D4" s="106"/>
      <c r="E4" s="106"/>
      <c r="F4" s="106"/>
    </row>
    <row r="5" spans="1:11" s="13" customFormat="1" ht="18.75" customHeight="1" x14ac:dyDescent="0.25">
      <c r="A5" s="106" t="str">
        <f>'Tờ khai'!A6:F6</f>
        <v>Tên người nộp thuế : CÔNG TY CỔ PHẦN ĐẦU TƯ VÀ PHÁT TRIỂN CÔNG NGHỆ INUT</v>
      </c>
      <c r="B5" s="106"/>
      <c r="C5" s="106"/>
      <c r="D5" s="106"/>
      <c r="E5" s="106"/>
      <c r="F5" s="106"/>
      <c r="G5" s="106"/>
      <c r="H5" s="106"/>
    </row>
    <row r="6" spans="1:11" s="13" customFormat="1" ht="18.75" customHeight="1" x14ac:dyDescent="0.25">
      <c r="A6" s="106" t="str">
        <f>'Tờ khai'!A7:F7</f>
        <v>Địa chỉ :161 Trường Chinh, Phường Tuy Hòa, Tỉnh Đắk Lắk, Việt Nam</v>
      </c>
      <c r="B6" s="106"/>
      <c r="C6" s="106"/>
      <c r="D6" s="106"/>
      <c r="E6" s="106"/>
      <c r="F6" s="106"/>
      <c r="G6" s="106"/>
      <c r="H6" s="106"/>
    </row>
    <row r="7" spans="1:11" x14ac:dyDescent="0.25">
      <c r="H7" s="10"/>
      <c r="I7" s="10"/>
    </row>
    <row r="8" spans="1:11" x14ac:dyDescent="0.25">
      <c r="A8" s="107" t="s">
        <v>3</v>
      </c>
      <c r="B8" s="103" t="s">
        <v>86</v>
      </c>
      <c r="C8" s="103"/>
      <c r="D8" s="103" t="s">
        <v>125</v>
      </c>
      <c r="E8" s="103" t="s">
        <v>87</v>
      </c>
      <c r="F8" s="107" t="s">
        <v>77</v>
      </c>
      <c r="G8" s="103" t="s">
        <v>88</v>
      </c>
      <c r="H8" s="8"/>
      <c r="I8" s="10"/>
    </row>
    <row r="9" spans="1:11" ht="63" x14ac:dyDescent="0.25">
      <c r="A9" s="108"/>
      <c r="B9" s="64" t="s">
        <v>73</v>
      </c>
      <c r="C9" s="1" t="s">
        <v>74</v>
      </c>
      <c r="D9" s="103"/>
      <c r="E9" s="103"/>
      <c r="F9" s="108"/>
      <c r="G9" s="103"/>
      <c r="H9" s="8"/>
      <c r="I9" s="10"/>
    </row>
    <row r="10" spans="1:11" x14ac:dyDescent="0.25">
      <c r="A10" s="100" t="s">
        <v>90</v>
      </c>
      <c r="B10" s="100"/>
      <c r="C10" s="100"/>
      <c r="D10" s="100"/>
      <c r="E10" s="100"/>
      <c r="F10" s="100"/>
      <c r="G10" s="100"/>
      <c r="H10" s="11"/>
      <c r="I10" s="9" t="s">
        <v>102</v>
      </c>
    </row>
    <row r="11" spans="1:11" s="35" customFormat="1" ht="20.25" customHeight="1" x14ac:dyDescent="0.25">
      <c r="A11" s="28" t="s">
        <v>96</v>
      </c>
      <c r="B11" s="67">
        <v>108328404660</v>
      </c>
      <c r="C11" s="29">
        <v>46183</v>
      </c>
      <c r="D11" s="59" t="s">
        <v>168</v>
      </c>
      <c r="E11" s="31">
        <v>24136728</v>
      </c>
      <c r="F11" s="32">
        <v>0.08</v>
      </c>
      <c r="G11" s="68">
        <v>1930938.24</v>
      </c>
      <c r="H11" s="31">
        <f t="shared" ref="H11:H40" si="0">E11*F11</f>
        <v>1930938.24</v>
      </c>
      <c r="I11" s="33">
        <f t="shared" ref="I11:I58" si="1">E11+G11</f>
        <v>26067666.239999998</v>
      </c>
      <c r="J11" s="34">
        <f>H11-G11</f>
        <v>0</v>
      </c>
      <c r="K11" s="35" t="s">
        <v>169</v>
      </c>
    </row>
    <row r="12" spans="1:11" s="35" customFormat="1" ht="20.25" customHeight="1" x14ac:dyDescent="0.25">
      <c r="A12" s="28" t="s">
        <v>97</v>
      </c>
      <c r="B12" s="67">
        <v>108286660050</v>
      </c>
      <c r="C12" s="29">
        <v>46169</v>
      </c>
      <c r="D12" s="59" t="s">
        <v>170</v>
      </c>
      <c r="E12" s="31">
        <v>41334380</v>
      </c>
      <c r="F12" s="32">
        <v>0.08</v>
      </c>
      <c r="G12" s="68">
        <v>3306750.4</v>
      </c>
      <c r="H12" s="31">
        <f t="shared" si="0"/>
        <v>3306750.4</v>
      </c>
      <c r="I12" s="33">
        <f t="shared" si="1"/>
        <v>44641130.399999999</v>
      </c>
      <c r="J12" s="34">
        <f t="shared" ref="J12:J58" si="2">H12-G12</f>
        <v>0</v>
      </c>
      <c r="K12" s="35" t="s">
        <v>169</v>
      </c>
    </row>
    <row r="13" spans="1:11" s="35" customFormat="1" ht="20.25" customHeight="1" x14ac:dyDescent="0.25">
      <c r="A13" s="28" t="s">
        <v>98</v>
      </c>
      <c r="B13" s="60">
        <v>2530</v>
      </c>
      <c r="C13" s="61" t="s">
        <v>171</v>
      </c>
      <c r="D13" s="69" t="s">
        <v>198</v>
      </c>
      <c r="E13" s="62">
        <v>5435185</v>
      </c>
      <c r="F13" s="32">
        <v>0.08</v>
      </c>
      <c r="G13" s="62">
        <v>434815</v>
      </c>
      <c r="H13" s="31">
        <f t="shared" si="0"/>
        <v>434814.8</v>
      </c>
      <c r="I13" s="33">
        <f t="shared" si="1"/>
        <v>5870000</v>
      </c>
      <c r="J13" s="34">
        <f t="shared" si="2"/>
        <v>-0.20000000001164153</v>
      </c>
    </row>
    <row r="14" spans="1:11" s="35" customFormat="1" ht="20.25" customHeight="1" x14ac:dyDescent="0.25">
      <c r="A14" s="28" t="s">
        <v>99</v>
      </c>
      <c r="B14" s="60">
        <v>9547</v>
      </c>
      <c r="C14" s="61" t="s">
        <v>172</v>
      </c>
      <c r="D14" s="69" t="s">
        <v>199</v>
      </c>
      <c r="E14" s="62">
        <v>2611111</v>
      </c>
      <c r="F14" s="32">
        <v>0.08</v>
      </c>
      <c r="G14" s="62">
        <v>208889</v>
      </c>
      <c r="H14" s="31">
        <f t="shared" si="0"/>
        <v>208888.88</v>
      </c>
      <c r="I14" s="33">
        <f t="shared" si="1"/>
        <v>2820000</v>
      </c>
      <c r="J14" s="34">
        <f t="shared" si="2"/>
        <v>-0.11999999999534339</v>
      </c>
    </row>
    <row r="15" spans="1:11" s="35" customFormat="1" ht="20.25" customHeight="1" x14ac:dyDescent="0.25">
      <c r="A15" s="28" t="s">
        <v>100</v>
      </c>
      <c r="B15" s="60">
        <v>7101</v>
      </c>
      <c r="C15" s="61" t="s">
        <v>173</v>
      </c>
      <c r="D15" s="69" t="s">
        <v>200</v>
      </c>
      <c r="E15" s="62">
        <v>43519</v>
      </c>
      <c r="F15" s="32">
        <v>0.08</v>
      </c>
      <c r="G15" s="62">
        <v>3481</v>
      </c>
      <c r="H15" s="31">
        <f t="shared" si="0"/>
        <v>3481.52</v>
      </c>
      <c r="I15" s="33">
        <f t="shared" si="1"/>
        <v>47000</v>
      </c>
      <c r="J15" s="34">
        <f t="shared" si="2"/>
        <v>0.51999999999998181</v>
      </c>
    </row>
    <row r="16" spans="1:11" s="35" customFormat="1" ht="20.25" customHeight="1" x14ac:dyDescent="0.25">
      <c r="A16" s="28" t="s">
        <v>103</v>
      </c>
      <c r="B16" s="60">
        <v>20575</v>
      </c>
      <c r="C16" s="61" t="s">
        <v>174</v>
      </c>
      <c r="D16" s="69" t="s">
        <v>201</v>
      </c>
      <c r="E16" s="62">
        <v>532407</v>
      </c>
      <c r="F16" s="32">
        <v>0.08</v>
      </c>
      <c r="G16" s="62">
        <v>42593</v>
      </c>
      <c r="H16" s="31">
        <f t="shared" si="0"/>
        <v>42592.56</v>
      </c>
      <c r="I16" s="33">
        <f t="shared" si="1"/>
        <v>575000</v>
      </c>
      <c r="J16" s="34">
        <f t="shared" si="2"/>
        <v>-0.44000000000232831</v>
      </c>
    </row>
    <row r="17" spans="1:10" s="35" customFormat="1" ht="20.25" customHeight="1" x14ac:dyDescent="0.25">
      <c r="A17" s="28" t="s">
        <v>104</v>
      </c>
      <c r="B17" s="60">
        <v>16812</v>
      </c>
      <c r="C17" s="61" t="s">
        <v>175</v>
      </c>
      <c r="D17" s="69" t="s">
        <v>202</v>
      </c>
      <c r="E17" s="62">
        <v>1828705</v>
      </c>
      <c r="F17" s="32">
        <v>0.08</v>
      </c>
      <c r="G17" s="62">
        <v>146296</v>
      </c>
      <c r="H17" s="31">
        <f t="shared" si="0"/>
        <v>146296.4</v>
      </c>
      <c r="I17" s="33">
        <f t="shared" si="1"/>
        <v>1975001</v>
      </c>
      <c r="J17" s="34">
        <f t="shared" si="2"/>
        <v>0.39999999999417923</v>
      </c>
    </row>
    <row r="18" spans="1:10" s="35" customFormat="1" ht="20.25" customHeight="1" x14ac:dyDescent="0.25">
      <c r="A18" s="28" t="s">
        <v>105</v>
      </c>
      <c r="B18" s="60">
        <v>6135</v>
      </c>
      <c r="C18" s="61" t="s">
        <v>176</v>
      </c>
      <c r="D18" s="69" t="s">
        <v>203</v>
      </c>
      <c r="E18" s="62">
        <v>2398148</v>
      </c>
      <c r="F18" s="32">
        <v>0.08</v>
      </c>
      <c r="G18" s="62">
        <v>191852</v>
      </c>
      <c r="H18" s="31">
        <f t="shared" si="0"/>
        <v>191851.84</v>
      </c>
      <c r="I18" s="33">
        <f t="shared" si="1"/>
        <v>2590000</v>
      </c>
      <c r="J18" s="34">
        <f t="shared" si="2"/>
        <v>-0.16000000000349246</v>
      </c>
    </row>
    <row r="19" spans="1:10" s="35" customFormat="1" ht="20.25" customHeight="1" x14ac:dyDescent="0.25">
      <c r="A19" s="28" t="s">
        <v>106</v>
      </c>
      <c r="B19" s="60">
        <v>114</v>
      </c>
      <c r="C19" s="61" t="s">
        <v>177</v>
      </c>
      <c r="D19" s="69" t="s">
        <v>204</v>
      </c>
      <c r="E19" s="62">
        <v>851852</v>
      </c>
      <c r="F19" s="32">
        <v>0.08</v>
      </c>
      <c r="G19" s="62">
        <v>68148</v>
      </c>
      <c r="H19" s="31">
        <f t="shared" si="0"/>
        <v>68148.160000000003</v>
      </c>
      <c r="I19" s="33">
        <f t="shared" si="1"/>
        <v>920000</v>
      </c>
      <c r="J19" s="34">
        <f t="shared" si="2"/>
        <v>0.16000000000349246</v>
      </c>
    </row>
    <row r="20" spans="1:10" s="35" customFormat="1" ht="20.25" customHeight="1" x14ac:dyDescent="0.25">
      <c r="A20" s="28" t="s">
        <v>107</v>
      </c>
      <c r="B20" s="60">
        <v>17208</v>
      </c>
      <c r="C20" s="61" t="s">
        <v>178</v>
      </c>
      <c r="D20" s="69" t="s">
        <v>202</v>
      </c>
      <c r="E20" s="62">
        <v>439815</v>
      </c>
      <c r="F20" s="32">
        <v>0.08</v>
      </c>
      <c r="G20" s="62">
        <v>35185</v>
      </c>
      <c r="H20" s="31">
        <f t="shared" si="0"/>
        <v>35185.200000000004</v>
      </c>
      <c r="I20" s="33">
        <f t="shared" si="1"/>
        <v>475000</v>
      </c>
      <c r="J20" s="34">
        <f t="shared" si="2"/>
        <v>0.20000000000436557</v>
      </c>
    </row>
    <row r="21" spans="1:10" s="35" customFormat="1" ht="20.25" customHeight="1" x14ac:dyDescent="0.25">
      <c r="A21" s="28" t="s">
        <v>108</v>
      </c>
      <c r="B21" s="60">
        <v>17284</v>
      </c>
      <c r="C21" s="61" t="s">
        <v>178</v>
      </c>
      <c r="D21" s="69" t="s">
        <v>202</v>
      </c>
      <c r="E21" s="62">
        <v>2226850</v>
      </c>
      <c r="F21" s="32">
        <v>0.08</v>
      </c>
      <c r="G21" s="62">
        <v>178148</v>
      </c>
      <c r="H21" s="31">
        <f t="shared" si="0"/>
        <v>178148</v>
      </c>
      <c r="I21" s="33">
        <f t="shared" si="1"/>
        <v>2404998</v>
      </c>
      <c r="J21" s="34">
        <f t="shared" si="2"/>
        <v>0</v>
      </c>
    </row>
    <row r="22" spans="1:10" s="35" customFormat="1" ht="20.25" customHeight="1" x14ac:dyDescent="0.25">
      <c r="A22" s="28" t="s">
        <v>109</v>
      </c>
      <c r="B22" s="60">
        <v>372997</v>
      </c>
      <c r="C22" s="61" t="s">
        <v>179</v>
      </c>
      <c r="D22" s="69" t="s">
        <v>205</v>
      </c>
      <c r="E22" s="62">
        <v>99074</v>
      </c>
      <c r="F22" s="32">
        <v>0.08</v>
      </c>
      <c r="G22" s="62">
        <v>7926</v>
      </c>
      <c r="H22" s="31">
        <f t="shared" si="0"/>
        <v>7925.92</v>
      </c>
      <c r="I22" s="33">
        <f t="shared" si="1"/>
        <v>107000</v>
      </c>
      <c r="J22" s="34">
        <f t="shared" si="2"/>
        <v>-7.999999999992724E-2</v>
      </c>
    </row>
    <row r="23" spans="1:10" s="35" customFormat="1" ht="20.25" customHeight="1" x14ac:dyDescent="0.25">
      <c r="A23" s="28" t="s">
        <v>110</v>
      </c>
      <c r="B23" s="60">
        <v>11832333</v>
      </c>
      <c r="C23" s="61" t="s">
        <v>152</v>
      </c>
      <c r="D23" s="69" t="s">
        <v>206</v>
      </c>
      <c r="E23" s="62">
        <v>81482</v>
      </c>
      <c r="F23" s="32">
        <v>0.08</v>
      </c>
      <c r="G23" s="62">
        <v>6518</v>
      </c>
      <c r="H23" s="31">
        <f t="shared" si="0"/>
        <v>6518.56</v>
      </c>
      <c r="I23" s="33">
        <f t="shared" si="1"/>
        <v>88000</v>
      </c>
      <c r="J23" s="34">
        <f t="shared" si="2"/>
        <v>0.56000000000040018</v>
      </c>
    </row>
    <row r="24" spans="1:10" s="35" customFormat="1" ht="20.25" customHeight="1" x14ac:dyDescent="0.25">
      <c r="A24" s="28" t="s">
        <v>111</v>
      </c>
      <c r="B24" s="60">
        <v>822935</v>
      </c>
      <c r="C24" s="61" t="s">
        <v>152</v>
      </c>
      <c r="D24" s="69" t="s">
        <v>207</v>
      </c>
      <c r="E24" s="62">
        <v>41562</v>
      </c>
      <c r="F24" s="32">
        <v>0.08</v>
      </c>
      <c r="G24" s="62">
        <v>3325</v>
      </c>
      <c r="H24" s="31">
        <f t="shared" si="0"/>
        <v>3324.96</v>
      </c>
      <c r="I24" s="33">
        <f t="shared" si="1"/>
        <v>44887</v>
      </c>
      <c r="J24" s="34">
        <f t="shared" si="2"/>
        <v>-3.999999999996362E-2</v>
      </c>
    </row>
    <row r="25" spans="1:10" s="35" customFormat="1" ht="20.25" customHeight="1" x14ac:dyDescent="0.25">
      <c r="A25" s="28" t="s">
        <v>112</v>
      </c>
      <c r="B25" s="60">
        <v>1380038</v>
      </c>
      <c r="C25" s="61" t="s">
        <v>180</v>
      </c>
      <c r="D25" s="69" t="s">
        <v>208</v>
      </c>
      <c r="E25" s="62">
        <v>672700</v>
      </c>
      <c r="F25" s="32">
        <v>0.08</v>
      </c>
      <c r="G25" s="62">
        <v>53816</v>
      </c>
      <c r="H25" s="31">
        <f t="shared" si="0"/>
        <v>53816</v>
      </c>
      <c r="I25" s="33">
        <f t="shared" si="1"/>
        <v>726516</v>
      </c>
      <c r="J25" s="34">
        <f t="shared" si="2"/>
        <v>0</v>
      </c>
    </row>
    <row r="26" spans="1:10" s="35" customFormat="1" ht="20.25" customHeight="1" x14ac:dyDescent="0.25">
      <c r="A26" s="28" t="s">
        <v>113</v>
      </c>
      <c r="B26" s="60">
        <v>902</v>
      </c>
      <c r="C26" s="61" t="s">
        <v>180</v>
      </c>
      <c r="D26" s="69" t="s">
        <v>209</v>
      </c>
      <c r="E26" s="62">
        <v>2986111</v>
      </c>
      <c r="F26" s="32">
        <v>0.08</v>
      </c>
      <c r="G26" s="62">
        <v>238889</v>
      </c>
      <c r="H26" s="31">
        <f t="shared" si="0"/>
        <v>238888.88</v>
      </c>
      <c r="I26" s="33">
        <f t="shared" si="1"/>
        <v>3225000</v>
      </c>
      <c r="J26" s="34">
        <f t="shared" si="2"/>
        <v>-0.11999999999534339</v>
      </c>
    </row>
    <row r="27" spans="1:10" s="35" customFormat="1" ht="20.25" customHeight="1" x14ac:dyDescent="0.25">
      <c r="A27" s="28" t="s">
        <v>114</v>
      </c>
      <c r="B27" s="60">
        <v>203431</v>
      </c>
      <c r="C27" s="61" t="s">
        <v>181</v>
      </c>
      <c r="D27" s="69" t="s">
        <v>210</v>
      </c>
      <c r="E27" s="62">
        <v>159259</v>
      </c>
      <c r="F27" s="32">
        <v>0.08</v>
      </c>
      <c r="G27" s="62">
        <v>12741</v>
      </c>
      <c r="H27" s="31">
        <f t="shared" si="0"/>
        <v>12740.720000000001</v>
      </c>
      <c r="I27" s="33">
        <f t="shared" si="1"/>
        <v>172000</v>
      </c>
      <c r="J27" s="34">
        <f t="shared" si="2"/>
        <v>-0.27999999999883585</v>
      </c>
    </row>
    <row r="28" spans="1:10" s="35" customFormat="1" ht="20.25" customHeight="1" x14ac:dyDescent="0.25">
      <c r="A28" s="28" t="s">
        <v>115</v>
      </c>
      <c r="B28" s="60">
        <v>7937</v>
      </c>
      <c r="C28" s="61" t="s">
        <v>181</v>
      </c>
      <c r="D28" s="69" t="s">
        <v>203</v>
      </c>
      <c r="E28" s="62">
        <v>3500000</v>
      </c>
      <c r="F28" s="32">
        <v>0.08</v>
      </c>
      <c r="G28" s="62">
        <v>280000</v>
      </c>
      <c r="H28" s="31">
        <f t="shared" si="0"/>
        <v>280000</v>
      </c>
      <c r="I28" s="33">
        <f t="shared" si="1"/>
        <v>3780000</v>
      </c>
      <c r="J28" s="34">
        <f t="shared" si="2"/>
        <v>0</v>
      </c>
    </row>
    <row r="29" spans="1:10" s="35" customFormat="1" ht="20.25" customHeight="1" x14ac:dyDescent="0.25">
      <c r="A29" s="28" t="s">
        <v>116</v>
      </c>
      <c r="B29" s="60">
        <v>8176</v>
      </c>
      <c r="C29" s="61" t="s">
        <v>182</v>
      </c>
      <c r="D29" s="69" t="s">
        <v>200</v>
      </c>
      <c r="E29" s="62">
        <v>216667</v>
      </c>
      <c r="F29" s="32">
        <v>0.08</v>
      </c>
      <c r="G29" s="62">
        <v>17333</v>
      </c>
      <c r="H29" s="31">
        <f t="shared" si="0"/>
        <v>17333.36</v>
      </c>
      <c r="I29" s="33">
        <f t="shared" si="1"/>
        <v>234000</v>
      </c>
      <c r="J29" s="34">
        <f t="shared" si="2"/>
        <v>0.36000000000058208</v>
      </c>
    </row>
    <row r="30" spans="1:10" s="35" customFormat="1" ht="20.25" customHeight="1" x14ac:dyDescent="0.25">
      <c r="A30" s="28" t="s">
        <v>118</v>
      </c>
      <c r="B30" s="60">
        <v>512958</v>
      </c>
      <c r="C30" s="61" t="s">
        <v>183</v>
      </c>
      <c r="D30" s="69" t="s">
        <v>211</v>
      </c>
      <c r="E30" s="62">
        <v>171296</v>
      </c>
      <c r="F30" s="32">
        <v>0.08</v>
      </c>
      <c r="G30" s="62">
        <v>13704</v>
      </c>
      <c r="H30" s="31">
        <f t="shared" si="0"/>
        <v>13703.68</v>
      </c>
      <c r="I30" s="33">
        <f t="shared" si="1"/>
        <v>185000</v>
      </c>
      <c r="J30" s="34">
        <f t="shared" si="2"/>
        <v>-0.31999999999970896</v>
      </c>
    </row>
    <row r="31" spans="1:10" s="35" customFormat="1" ht="20.25" customHeight="1" x14ac:dyDescent="0.25">
      <c r="A31" s="28" t="s">
        <v>120</v>
      </c>
      <c r="B31" s="60">
        <v>19948</v>
      </c>
      <c r="C31" s="61" t="s">
        <v>183</v>
      </c>
      <c r="D31" s="69" t="s">
        <v>202</v>
      </c>
      <c r="E31" s="62">
        <v>182407</v>
      </c>
      <c r="F31" s="32">
        <v>0.08</v>
      </c>
      <c r="G31" s="62">
        <v>14593</v>
      </c>
      <c r="H31" s="31">
        <f t="shared" si="0"/>
        <v>14592.56</v>
      </c>
      <c r="I31" s="33">
        <f t="shared" si="1"/>
        <v>197000</v>
      </c>
      <c r="J31" s="34">
        <f t="shared" si="2"/>
        <v>-0.44000000000050932</v>
      </c>
    </row>
    <row r="32" spans="1:10" s="35" customFormat="1" ht="20.25" customHeight="1" x14ac:dyDescent="0.25">
      <c r="A32" s="28" t="s">
        <v>119</v>
      </c>
      <c r="B32" s="60">
        <v>116</v>
      </c>
      <c r="C32" s="61" t="s">
        <v>155</v>
      </c>
      <c r="D32" s="69" t="s">
        <v>212</v>
      </c>
      <c r="E32" s="62">
        <v>1300000</v>
      </c>
      <c r="F32" s="32">
        <v>0.1</v>
      </c>
      <c r="G32" s="62">
        <v>130000</v>
      </c>
      <c r="H32" s="31">
        <f t="shared" si="0"/>
        <v>130000</v>
      </c>
      <c r="I32" s="33">
        <f t="shared" si="1"/>
        <v>1430000</v>
      </c>
      <c r="J32" s="34">
        <f t="shared" si="2"/>
        <v>0</v>
      </c>
    </row>
    <row r="33" spans="1:12" s="35" customFormat="1" ht="20.25" customHeight="1" x14ac:dyDescent="0.25">
      <c r="A33" s="28" t="s">
        <v>121</v>
      </c>
      <c r="B33" s="60">
        <v>20068</v>
      </c>
      <c r="C33" s="61" t="s">
        <v>184</v>
      </c>
      <c r="D33" s="69" t="s">
        <v>202</v>
      </c>
      <c r="E33" s="62">
        <v>674074</v>
      </c>
      <c r="F33" s="32">
        <v>0.08</v>
      </c>
      <c r="G33" s="62">
        <v>53926</v>
      </c>
      <c r="H33" s="31">
        <f t="shared" si="0"/>
        <v>53925.919999999998</v>
      </c>
      <c r="I33" s="33">
        <f t="shared" si="1"/>
        <v>728000</v>
      </c>
      <c r="J33" s="34">
        <f t="shared" si="2"/>
        <v>-8.000000000174623E-2</v>
      </c>
    </row>
    <row r="34" spans="1:12" s="35" customFormat="1" ht="20.25" customHeight="1" x14ac:dyDescent="0.25">
      <c r="A34" s="28" t="s">
        <v>122</v>
      </c>
      <c r="B34" s="60">
        <v>20114</v>
      </c>
      <c r="C34" s="61" t="s">
        <v>185</v>
      </c>
      <c r="D34" s="69" t="s">
        <v>202</v>
      </c>
      <c r="E34" s="62">
        <v>2881480</v>
      </c>
      <c r="F34" s="32">
        <v>0.08</v>
      </c>
      <c r="G34" s="62">
        <v>230518</v>
      </c>
      <c r="H34" s="31">
        <f t="shared" si="0"/>
        <v>230518.39999999999</v>
      </c>
      <c r="I34" s="33">
        <f t="shared" si="1"/>
        <v>3111998</v>
      </c>
      <c r="J34" s="34">
        <f t="shared" si="2"/>
        <v>0.39999999999417923</v>
      </c>
    </row>
    <row r="35" spans="1:12" s="35" customFormat="1" ht="20.25" customHeight="1" x14ac:dyDescent="0.25">
      <c r="A35" s="28" t="s">
        <v>123</v>
      </c>
      <c r="B35" s="60">
        <v>1650</v>
      </c>
      <c r="C35" s="61" t="s">
        <v>186</v>
      </c>
      <c r="D35" s="69" t="s">
        <v>213</v>
      </c>
      <c r="E35" s="62">
        <v>791667</v>
      </c>
      <c r="F35" s="32">
        <v>0.08</v>
      </c>
      <c r="G35" s="62">
        <v>63333</v>
      </c>
      <c r="H35" s="31">
        <f t="shared" si="0"/>
        <v>63333.36</v>
      </c>
      <c r="I35" s="33">
        <f t="shared" si="1"/>
        <v>855000</v>
      </c>
      <c r="J35" s="34">
        <f t="shared" si="2"/>
        <v>0.36000000000058208</v>
      </c>
    </row>
    <row r="36" spans="1:12" s="35" customFormat="1" ht="20.25" customHeight="1" x14ac:dyDescent="0.25">
      <c r="A36" s="28" t="s">
        <v>124</v>
      </c>
      <c r="B36" s="60">
        <v>14428</v>
      </c>
      <c r="C36" s="61" t="s">
        <v>186</v>
      </c>
      <c r="D36" s="69" t="s">
        <v>199</v>
      </c>
      <c r="E36" s="62">
        <v>1574074</v>
      </c>
      <c r="F36" s="32">
        <v>0.08</v>
      </c>
      <c r="G36" s="62">
        <v>125926</v>
      </c>
      <c r="H36" s="31">
        <f t="shared" si="0"/>
        <v>125925.92</v>
      </c>
      <c r="I36" s="33">
        <f t="shared" si="1"/>
        <v>1700000</v>
      </c>
      <c r="J36" s="34">
        <f t="shared" si="2"/>
        <v>-8.000000000174623E-2</v>
      </c>
    </row>
    <row r="37" spans="1:12" s="35" customFormat="1" ht="20.25" customHeight="1" x14ac:dyDescent="0.25">
      <c r="A37" s="28" t="s">
        <v>126</v>
      </c>
      <c r="B37" s="60">
        <v>20758</v>
      </c>
      <c r="C37" s="61" t="s">
        <v>186</v>
      </c>
      <c r="D37" s="69" t="s">
        <v>202</v>
      </c>
      <c r="E37" s="62">
        <v>692594</v>
      </c>
      <c r="F37" s="32">
        <v>0.08</v>
      </c>
      <c r="G37" s="62">
        <v>55408</v>
      </c>
      <c r="H37" s="31">
        <f t="shared" si="0"/>
        <v>55407.520000000004</v>
      </c>
      <c r="I37" s="33">
        <f t="shared" si="1"/>
        <v>748002</v>
      </c>
      <c r="J37" s="34">
        <f t="shared" si="2"/>
        <v>-0.47999999999592546</v>
      </c>
    </row>
    <row r="38" spans="1:12" s="35" customFormat="1" ht="20.25" customHeight="1" x14ac:dyDescent="0.25">
      <c r="A38" s="28" t="s">
        <v>127</v>
      </c>
      <c r="B38" s="60">
        <v>21146</v>
      </c>
      <c r="C38" s="61" t="s">
        <v>156</v>
      </c>
      <c r="D38" s="69" t="s">
        <v>214</v>
      </c>
      <c r="E38" s="62">
        <v>425000</v>
      </c>
      <c r="F38" s="32">
        <v>0.08</v>
      </c>
      <c r="G38" s="62">
        <v>34000</v>
      </c>
      <c r="H38" s="31">
        <f t="shared" si="0"/>
        <v>34000</v>
      </c>
      <c r="I38" s="33">
        <f t="shared" si="1"/>
        <v>459000</v>
      </c>
      <c r="J38" s="34">
        <f t="shared" si="2"/>
        <v>0</v>
      </c>
    </row>
    <row r="39" spans="1:12" s="35" customFormat="1" ht="20.25" customHeight="1" x14ac:dyDescent="0.25">
      <c r="A39" s="28" t="s">
        <v>128</v>
      </c>
      <c r="B39" s="60">
        <v>1877</v>
      </c>
      <c r="C39" s="61" t="s">
        <v>187</v>
      </c>
      <c r="D39" s="69" t="s">
        <v>215</v>
      </c>
      <c r="E39" s="62">
        <v>277778</v>
      </c>
      <c r="F39" s="32">
        <v>0.08</v>
      </c>
      <c r="G39" s="62">
        <v>22222</v>
      </c>
      <c r="H39" s="31">
        <f t="shared" si="0"/>
        <v>22222.240000000002</v>
      </c>
      <c r="I39" s="33">
        <f t="shared" si="1"/>
        <v>300000</v>
      </c>
      <c r="J39" s="34">
        <f t="shared" si="2"/>
        <v>0.24000000000160071</v>
      </c>
    </row>
    <row r="40" spans="1:12" s="35" customFormat="1" ht="20.25" customHeight="1" x14ac:dyDescent="0.25">
      <c r="A40" s="28" t="s">
        <v>129</v>
      </c>
      <c r="B40" s="60">
        <v>1736</v>
      </c>
      <c r="C40" s="61" t="s">
        <v>188</v>
      </c>
      <c r="D40" s="69" t="s">
        <v>213</v>
      </c>
      <c r="E40" s="62">
        <v>861111</v>
      </c>
      <c r="F40" s="32">
        <v>0.08</v>
      </c>
      <c r="G40" s="62">
        <v>68889</v>
      </c>
      <c r="H40" s="31">
        <f t="shared" si="0"/>
        <v>68888.88</v>
      </c>
      <c r="I40" s="33">
        <f t="shared" si="1"/>
        <v>930000</v>
      </c>
      <c r="J40" s="34">
        <f t="shared" si="2"/>
        <v>-0.11999999999534339</v>
      </c>
    </row>
    <row r="41" spans="1:12" s="35" customFormat="1" ht="20.25" customHeight="1" x14ac:dyDescent="0.25">
      <c r="A41" s="28" t="s">
        <v>130</v>
      </c>
      <c r="B41" s="60">
        <v>1755</v>
      </c>
      <c r="C41" s="61" t="s">
        <v>188</v>
      </c>
      <c r="D41" s="69" t="s">
        <v>213</v>
      </c>
      <c r="E41" s="62">
        <v>875000</v>
      </c>
      <c r="F41" s="32">
        <v>0.08</v>
      </c>
      <c r="G41" s="62">
        <v>70000</v>
      </c>
      <c r="H41" s="31">
        <f t="shared" ref="H41:H58" si="3">E41*F41</f>
        <v>70000</v>
      </c>
      <c r="I41" s="33">
        <f t="shared" si="1"/>
        <v>945000</v>
      </c>
      <c r="J41" s="34">
        <f t="shared" si="2"/>
        <v>0</v>
      </c>
      <c r="L41" s="34"/>
    </row>
    <row r="42" spans="1:12" s="35" customFormat="1" ht="20.25" customHeight="1" x14ac:dyDescent="0.25">
      <c r="A42" s="28" t="s">
        <v>131</v>
      </c>
      <c r="B42" s="60">
        <v>3095096</v>
      </c>
      <c r="C42" s="61" t="s">
        <v>189</v>
      </c>
      <c r="D42" s="69" t="s">
        <v>216</v>
      </c>
      <c r="E42" s="62">
        <v>380000</v>
      </c>
      <c r="F42" s="32">
        <v>0.08</v>
      </c>
      <c r="G42" s="62">
        <v>30400</v>
      </c>
      <c r="H42" s="31">
        <f t="shared" si="3"/>
        <v>30400</v>
      </c>
      <c r="I42" s="33">
        <f t="shared" si="1"/>
        <v>410400</v>
      </c>
      <c r="J42" s="34">
        <f t="shared" si="2"/>
        <v>0</v>
      </c>
    </row>
    <row r="43" spans="1:12" s="35" customFormat="1" ht="20.25" customHeight="1" x14ac:dyDescent="0.25">
      <c r="A43" s="28" t="s">
        <v>132</v>
      </c>
      <c r="B43" s="60">
        <v>110</v>
      </c>
      <c r="C43" s="61" t="s">
        <v>190</v>
      </c>
      <c r="D43" s="69" t="s">
        <v>217</v>
      </c>
      <c r="E43" s="62">
        <v>10850000</v>
      </c>
      <c r="F43" s="32">
        <v>0.08</v>
      </c>
      <c r="G43" s="62">
        <v>868000</v>
      </c>
      <c r="H43" s="31">
        <f t="shared" si="3"/>
        <v>868000</v>
      </c>
      <c r="I43" s="33">
        <f t="shared" si="1"/>
        <v>11718000</v>
      </c>
      <c r="J43" s="34">
        <f t="shared" si="2"/>
        <v>0</v>
      </c>
    </row>
    <row r="44" spans="1:12" s="35" customFormat="1" ht="20.25" customHeight="1" x14ac:dyDescent="0.25">
      <c r="A44" s="28" t="s">
        <v>133</v>
      </c>
      <c r="B44" s="60">
        <v>230325</v>
      </c>
      <c r="C44" s="61" t="s">
        <v>190</v>
      </c>
      <c r="D44" s="69" t="s">
        <v>205</v>
      </c>
      <c r="E44" s="62">
        <v>3704</v>
      </c>
      <c r="F44" s="32">
        <v>0.08</v>
      </c>
      <c r="G44" s="62">
        <v>296</v>
      </c>
      <c r="H44" s="31">
        <f t="shared" si="3"/>
        <v>296.32</v>
      </c>
      <c r="I44" s="33">
        <f t="shared" si="1"/>
        <v>4000</v>
      </c>
      <c r="J44" s="34">
        <f t="shared" si="2"/>
        <v>0.31999999999999318</v>
      </c>
    </row>
    <row r="45" spans="1:12" s="35" customFormat="1" ht="20.25" customHeight="1" x14ac:dyDescent="0.25">
      <c r="A45" s="28" t="s">
        <v>134</v>
      </c>
      <c r="B45" s="60">
        <v>547</v>
      </c>
      <c r="C45" s="61" t="s">
        <v>190</v>
      </c>
      <c r="D45" s="69" t="s">
        <v>218</v>
      </c>
      <c r="E45" s="62">
        <v>4650000</v>
      </c>
      <c r="F45" s="32">
        <v>0.08</v>
      </c>
      <c r="G45" s="62">
        <v>372000</v>
      </c>
      <c r="H45" s="31">
        <f t="shared" si="3"/>
        <v>372000</v>
      </c>
      <c r="I45" s="33">
        <f t="shared" si="1"/>
        <v>5022000</v>
      </c>
      <c r="J45" s="34">
        <f t="shared" si="2"/>
        <v>0</v>
      </c>
    </row>
    <row r="46" spans="1:12" s="35" customFormat="1" ht="20.25" customHeight="1" x14ac:dyDescent="0.25">
      <c r="A46" s="28" t="s">
        <v>135</v>
      </c>
      <c r="B46" s="60">
        <v>24005</v>
      </c>
      <c r="C46" s="61" t="s">
        <v>190</v>
      </c>
      <c r="D46" s="69" t="s">
        <v>219</v>
      </c>
      <c r="E46" s="62">
        <v>1402778</v>
      </c>
      <c r="F46" s="32">
        <v>0.08</v>
      </c>
      <c r="G46" s="62">
        <v>112222</v>
      </c>
      <c r="H46" s="31">
        <f t="shared" si="3"/>
        <v>112222.24</v>
      </c>
      <c r="I46" s="33">
        <f t="shared" si="1"/>
        <v>1515000</v>
      </c>
      <c r="J46" s="34">
        <f t="shared" si="2"/>
        <v>0.24000000000523869</v>
      </c>
    </row>
    <row r="47" spans="1:12" s="35" customFormat="1" ht="20.25" customHeight="1" x14ac:dyDescent="0.25">
      <c r="A47" s="28" t="s">
        <v>136</v>
      </c>
      <c r="B47" s="60">
        <v>140</v>
      </c>
      <c r="C47" s="61" t="s">
        <v>191</v>
      </c>
      <c r="D47" s="69" t="s">
        <v>212</v>
      </c>
      <c r="E47" s="62">
        <v>7800000</v>
      </c>
      <c r="F47" s="32">
        <v>0.1</v>
      </c>
      <c r="G47" s="62">
        <v>780000</v>
      </c>
      <c r="H47" s="31">
        <f t="shared" si="3"/>
        <v>780000</v>
      </c>
      <c r="I47" s="33">
        <f t="shared" si="1"/>
        <v>8580000</v>
      </c>
      <c r="J47" s="34">
        <f t="shared" si="2"/>
        <v>0</v>
      </c>
    </row>
    <row r="48" spans="1:12" s="35" customFormat="1" ht="20.25" customHeight="1" x14ac:dyDescent="0.25">
      <c r="A48" s="28" t="s">
        <v>137</v>
      </c>
      <c r="B48" s="60">
        <v>9604</v>
      </c>
      <c r="C48" s="61" t="s">
        <v>192</v>
      </c>
      <c r="D48" s="69" t="s">
        <v>220</v>
      </c>
      <c r="E48" s="62">
        <v>313697</v>
      </c>
      <c r="F48" s="32">
        <v>0.08</v>
      </c>
      <c r="G48" s="62">
        <v>25096</v>
      </c>
      <c r="H48" s="31">
        <f t="shared" si="3"/>
        <v>25095.760000000002</v>
      </c>
      <c r="I48" s="33">
        <f t="shared" si="1"/>
        <v>338793</v>
      </c>
      <c r="J48" s="34">
        <f t="shared" si="2"/>
        <v>-0.23999999999796273</v>
      </c>
    </row>
    <row r="49" spans="1:10" s="35" customFormat="1" ht="20.25" customHeight="1" x14ac:dyDescent="0.25">
      <c r="A49" s="28" t="s">
        <v>138</v>
      </c>
      <c r="B49" s="60">
        <v>1</v>
      </c>
      <c r="C49" s="61" t="s">
        <v>193</v>
      </c>
      <c r="D49" s="69" t="s">
        <v>221</v>
      </c>
      <c r="E49" s="62">
        <v>756000</v>
      </c>
      <c r="F49" s="32">
        <v>0.08</v>
      </c>
      <c r="G49" s="62">
        <v>60480</v>
      </c>
      <c r="H49" s="31">
        <f t="shared" si="3"/>
        <v>60480</v>
      </c>
      <c r="I49" s="33">
        <f t="shared" si="1"/>
        <v>816480</v>
      </c>
      <c r="J49" s="34">
        <f t="shared" si="2"/>
        <v>0</v>
      </c>
    </row>
    <row r="50" spans="1:10" s="35" customFormat="1" ht="20.25" customHeight="1" x14ac:dyDescent="0.25">
      <c r="A50" s="28" t="s">
        <v>139</v>
      </c>
      <c r="B50" s="60">
        <v>21545</v>
      </c>
      <c r="C50" s="61" t="s">
        <v>194</v>
      </c>
      <c r="D50" s="69" t="s">
        <v>222</v>
      </c>
      <c r="E50" s="62">
        <v>507450</v>
      </c>
      <c r="F50" s="32">
        <v>0.08</v>
      </c>
      <c r="G50" s="62">
        <v>40596</v>
      </c>
      <c r="H50" s="31">
        <f t="shared" si="3"/>
        <v>40596</v>
      </c>
      <c r="I50" s="33">
        <f t="shared" si="1"/>
        <v>548046</v>
      </c>
      <c r="J50" s="34">
        <f t="shared" si="2"/>
        <v>0</v>
      </c>
    </row>
    <row r="51" spans="1:10" s="35" customFormat="1" ht="20.25" customHeight="1" x14ac:dyDescent="0.25">
      <c r="A51" s="28" t="s">
        <v>140</v>
      </c>
      <c r="B51" s="60">
        <v>9875</v>
      </c>
      <c r="C51" s="61" t="s">
        <v>195</v>
      </c>
      <c r="D51" s="69" t="s">
        <v>220</v>
      </c>
      <c r="E51" s="62">
        <v>309068</v>
      </c>
      <c r="F51" s="32">
        <v>0.08</v>
      </c>
      <c r="G51" s="62">
        <v>24725</v>
      </c>
      <c r="H51" s="31">
        <f t="shared" si="3"/>
        <v>24725.440000000002</v>
      </c>
      <c r="I51" s="33">
        <f t="shared" si="1"/>
        <v>333793</v>
      </c>
      <c r="J51" s="34">
        <f t="shared" si="2"/>
        <v>0.44000000000232831</v>
      </c>
    </row>
    <row r="52" spans="1:10" s="35" customFormat="1" ht="20.25" customHeight="1" x14ac:dyDescent="0.25">
      <c r="A52" s="28" t="s">
        <v>141</v>
      </c>
      <c r="B52" s="60">
        <v>112</v>
      </c>
      <c r="C52" s="61" t="s">
        <v>196</v>
      </c>
      <c r="D52" s="69" t="s">
        <v>223</v>
      </c>
      <c r="E52" s="62">
        <v>1270000</v>
      </c>
      <c r="F52" s="32">
        <v>0.08</v>
      </c>
      <c r="G52" s="62">
        <v>101600</v>
      </c>
      <c r="H52" s="31">
        <f t="shared" si="3"/>
        <v>101600</v>
      </c>
      <c r="I52" s="33">
        <f t="shared" si="1"/>
        <v>1371600</v>
      </c>
      <c r="J52" s="34">
        <f t="shared" si="2"/>
        <v>0</v>
      </c>
    </row>
    <row r="53" spans="1:10" s="35" customFormat="1" ht="20.25" customHeight="1" x14ac:dyDescent="0.25">
      <c r="A53" s="28" t="s">
        <v>142</v>
      </c>
      <c r="B53" s="60">
        <v>1140686</v>
      </c>
      <c r="C53" s="61" t="s">
        <v>196</v>
      </c>
      <c r="D53" s="69" t="s">
        <v>207</v>
      </c>
      <c r="E53" s="62">
        <v>92500</v>
      </c>
      <c r="F53" s="32">
        <v>0.08</v>
      </c>
      <c r="G53" s="62">
        <v>7400</v>
      </c>
      <c r="H53" s="31">
        <f t="shared" si="3"/>
        <v>7400</v>
      </c>
      <c r="I53" s="33">
        <f t="shared" si="1"/>
        <v>99900</v>
      </c>
      <c r="J53" s="34">
        <f t="shared" si="2"/>
        <v>0</v>
      </c>
    </row>
    <row r="54" spans="1:10" s="35" customFormat="1" ht="20.25" customHeight="1" x14ac:dyDescent="0.25">
      <c r="A54" s="28" t="s">
        <v>143</v>
      </c>
      <c r="B54" s="60">
        <v>8898</v>
      </c>
      <c r="C54" s="61" t="s">
        <v>159</v>
      </c>
      <c r="D54" s="69" t="s">
        <v>224</v>
      </c>
      <c r="E54" s="62">
        <v>1699074</v>
      </c>
      <c r="F54" s="32">
        <v>0.08</v>
      </c>
      <c r="G54" s="62">
        <v>135926</v>
      </c>
      <c r="H54" s="31">
        <f t="shared" si="3"/>
        <v>135925.92000000001</v>
      </c>
      <c r="I54" s="33">
        <f t="shared" si="1"/>
        <v>1835000</v>
      </c>
      <c r="J54" s="34">
        <f t="shared" si="2"/>
        <v>-7.9999999987194315E-2</v>
      </c>
    </row>
    <row r="55" spans="1:10" s="35" customFormat="1" ht="20.25" customHeight="1" x14ac:dyDescent="0.25">
      <c r="A55" s="28" t="s">
        <v>144</v>
      </c>
      <c r="B55" s="60">
        <v>177</v>
      </c>
      <c r="C55" s="61" t="s">
        <v>197</v>
      </c>
      <c r="D55" s="69" t="s">
        <v>212</v>
      </c>
      <c r="E55" s="62">
        <v>13000000</v>
      </c>
      <c r="F55" s="32">
        <v>0.1</v>
      </c>
      <c r="G55" s="62">
        <v>1300000</v>
      </c>
      <c r="H55" s="31">
        <f t="shared" si="3"/>
        <v>1300000</v>
      </c>
      <c r="I55" s="33">
        <f t="shared" si="1"/>
        <v>14300000</v>
      </c>
      <c r="J55" s="34">
        <f t="shared" si="2"/>
        <v>0</v>
      </c>
    </row>
    <row r="56" spans="1:10" s="35" customFormat="1" ht="20.25" customHeight="1" x14ac:dyDescent="0.25">
      <c r="A56" s="28" t="s">
        <v>145</v>
      </c>
      <c r="B56" s="60">
        <v>3440</v>
      </c>
      <c r="C56" s="61" t="s">
        <v>161</v>
      </c>
      <c r="D56" s="69" t="s">
        <v>225</v>
      </c>
      <c r="E56" s="62">
        <v>1879630</v>
      </c>
      <c r="F56" s="32">
        <v>0.08</v>
      </c>
      <c r="G56" s="62">
        <v>150370</v>
      </c>
      <c r="H56" s="31">
        <f t="shared" si="3"/>
        <v>150370.4</v>
      </c>
      <c r="I56" s="33">
        <f t="shared" si="1"/>
        <v>2030000</v>
      </c>
      <c r="J56" s="34">
        <f t="shared" si="2"/>
        <v>0.39999999999417923</v>
      </c>
    </row>
    <row r="57" spans="1:10" s="35" customFormat="1" ht="20.25" customHeight="1" x14ac:dyDescent="0.25">
      <c r="A57" s="28" t="s">
        <v>146</v>
      </c>
      <c r="B57" s="65"/>
      <c r="C57" s="29"/>
      <c r="D57" s="59"/>
      <c r="E57" s="31"/>
      <c r="F57" s="32">
        <v>0.08</v>
      </c>
      <c r="G57" s="31"/>
      <c r="H57" s="31">
        <f t="shared" si="3"/>
        <v>0</v>
      </c>
      <c r="I57" s="33">
        <f t="shared" si="1"/>
        <v>0</v>
      </c>
      <c r="J57" s="34">
        <f t="shared" si="2"/>
        <v>0</v>
      </c>
    </row>
    <row r="58" spans="1:10" s="35" customFormat="1" ht="20.25" customHeight="1" x14ac:dyDescent="0.25">
      <c r="A58" s="28" t="s">
        <v>147</v>
      </c>
      <c r="B58" s="65"/>
      <c r="C58" s="29"/>
      <c r="D58" s="59"/>
      <c r="E58" s="31"/>
      <c r="F58" s="32">
        <v>0.08</v>
      </c>
      <c r="G58" s="31"/>
      <c r="H58" s="31">
        <f t="shared" si="3"/>
        <v>0</v>
      </c>
      <c r="I58" s="33">
        <f t="shared" si="1"/>
        <v>0</v>
      </c>
      <c r="J58" s="34">
        <f t="shared" si="2"/>
        <v>0</v>
      </c>
    </row>
    <row r="59" spans="1:10" s="35" customFormat="1" ht="15" x14ac:dyDescent="0.25">
      <c r="A59" s="101" t="s">
        <v>80</v>
      </c>
      <c r="B59" s="101"/>
      <c r="C59" s="101"/>
      <c r="D59" s="101"/>
      <c r="E59" s="36">
        <f>SUM(E11:E58)</f>
        <v>145215937</v>
      </c>
      <c r="F59" s="36"/>
      <c r="G59" s="36">
        <f>SUM(G11:G58)</f>
        <v>12059273.640000001</v>
      </c>
      <c r="H59" s="36">
        <f>SUM(H11:H58)</f>
        <v>12059274.959999999</v>
      </c>
      <c r="I59" s="36">
        <f>SUM(I11:I58)</f>
        <v>157275210.63999999</v>
      </c>
      <c r="J59" s="36">
        <f>SUM(J11:J58)</f>
        <v>1.3200000000140903</v>
      </c>
    </row>
    <row r="60" spans="1:10" s="35" customFormat="1" ht="15" x14ac:dyDescent="0.25">
      <c r="A60" s="102" t="s">
        <v>89</v>
      </c>
      <c r="B60" s="102"/>
      <c r="C60" s="102"/>
      <c r="D60" s="102"/>
      <c r="E60" s="102"/>
      <c r="F60" s="102"/>
      <c r="G60" s="102"/>
      <c r="H60" s="37"/>
      <c r="I60" s="34"/>
    </row>
    <row r="61" spans="1:10" s="35" customFormat="1" ht="15" x14ac:dyDescent="0.25">
      <c r="A61" s="38"/>
      <c r="B61" s="66"/>
      <c r="C61" s="38"/>
      <c r="D61" s="38"/>
      <c r="E61" s="33"/>
      <c r="F61" s="38"/>
      <c r="G61" s="33"/>
      <c r="H61" s="39"/>
    </row>
    <row r="62" spans="1:10" s="35" customFormat="1" ht="15" x14ac:dyDescent="0.25">
      <c r="A62" s="38"/>
      <c r="B62" s="66"/>
      <c r="C62" s="38"/>
      <c r="D62" s="38"/>
      <c r="E62" s="33"/>
      <c r="F62" s="38"/>
      <c r="G62" s="33"/>
      <c r="H62" s="39"/>
    </row>
    <row r="63" spans="1:10" s="37" customFormat="1" ht="15" x14ac:dyDescent="0.25">
      <c r="A63" s="101" t="s">
        <v>80</v>
      </c>
      <c r="B63" s="101"/>
      <c r="C63" s="101"/>
      <c r="D63" s="101"/>
      <c r="E63" s="40"/>
      <c r="F63" s="30"/>
      <c r="G63" s="40"/>
      <c r="H63" s="41"/>
    </row>
    <row r="64" spans="1:10" s="35" customFormat="1" ht="15" x14ac:dyDescent="0.25">
      <c r="A64" s="102" t="s">
        <v>93</v>
      </c>
      <c r="B64" s="102"/>
      <c r="C64" s="102"/>
      <c r="D64" s="102"/>
      <c r="E64" s="102"/>
      <c r="F64" s="102"/>
      <c r="G64" s="102"/>
      <c r="H64" s="37"/>
    </row>
    <row r="65" spans="1:8" s="35" customFormat="1" ht="15" x14ac:dyDescent="0.25">
      <c r="A65" s="38"/>
      <c r="B65" s="66"/>
      <c r="C65" s="38"/>
      <c r="D65" s="38"/>
      <c r="E65" s="33"/>
      <c r="F65" s="38"/>
      <c r="G65" s="33"/>
      <c r="H65" s="39"/>
    </row>
    <row r="66" spans="1:8" s="35" customFormat="1" ht="15" x14ac:dyDescent="0.25">
      <c r="A66" s="38"/>
      <c r="B66" s="66"/>
      <c r="C66" s="38"/>
      <c r="D66" s="38"/>
      <c r="E66" s="33"/>
      <c r="F66" s="38"/>
      <c r="G66" s="33"/>
      <c r="H66" s="39"/>
    </row>
    <row r="67" spans="1:8" s="37" customFormat="1" ht="15" x14ac:dyDescent="0.25">
      <c r="A67" s="101" t="s">
        <v>80</v>
      </c>
      <c r="B67" s="101"/>
      <c r="C67" s="101"/>
      <c r="D67" s="101"/>
      <c r="E67" s="40"/>
      <c r="F67" s="30"/>
      <c r="G67" s="40"/>
      <c r="H67" s="41"/>
    </row>
    <row r="68" spans="1:8" s="35" customFormat="1" ht="15" x14ac:dyDescent="0.25">
      <c r="A68" s="99" t="s">
        <v>94</v>
      </c>
      <c r="B68" s="99"/>
      <c r="C68" s="99"/>
      <c r="D68" s="99"/>
      <c r="E68" s="42"/>
    </row>
    <row r="69" spans="1:8" s="35" customFormat="1" ht="15" x14ac:dyDescent="0.25">
      <c r="A69" s="99" t="s">
        <v>95</v>
      </c>
      <c r="B69" s="99"/>
      <c r="C69" s="99"/>
      <c r="D69" s="99"/>
      <c r="E69" s="42"/>
    </row>
  </sheetData>
  <autoFilter ref="A8:K60">
    <filterColumn colId="1" showButton="0"/>
  </autoFilter>
  <mergeCells count="20">
    <mergeCell ref="G8:G9"/>
    <mergeCell ref="A1:F1"/>
    <mergeCell ref="A2:F2"/>
    <mergeCell ref="A3:F3"/>
    <mergeCell ref="A4:F4"/>
    <mergeCell ref="A8:A9"/>
    <mergeCell ref="B8:C8"/>
    <mergeCell ref="D8:D9"/>
    <mergeCell ref="E8:E9"/>
    <mergeCell ref="F8:F9"/>
    <mergeCell ref="A5:H5"/>
    <mergeCell ref="A6:H6"/>
    <mergeCell ref="A68:D68"/>
    <mergeCell ref="A69:D69"/>
    <mergeCell ref="A10:G10"/>
    <mergeCell ref="A59:D59"/>
    <mergeCell ref="A60:G60"/>
    <mergeCell ref="A63:D63"/>
    <mergeCell ref="A64:G64"/>
    <mergeCell ref="A67:D67"/>
  </mergeCells>
  <phoneticPr fontId="9" type="noConversion"/>
  <conditionalFormatting sqref="B1:B1048576">
    <cfRule type="duplicateValues" dxfId="1" priority="1"/>
  </conditionalFormatting>
  <conditionalFormatting sqref="B11:E58">
    <cfRule type="expression" dxfId="0" priority="3">
      <formula>COUNTIFS($B$11:$B$58,$B11,$D$11:$D$58,$D11)&gt;1</formula>
    </cfRule>
  </conditionalFormatting>
  <pageMargins left="0.7" right="0.7" top="0.75" bottom="0.75" header="0.3" footer="0.3"/>
  <pageSetup paperSize="9"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Tờ khai</vt:lpstr>
      <vt:lpstr>Bảng kê bán ra</vt:lpstr>
      <vt:lpstr>Bảng kê mua vào</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Windows</dc:creator>
  <cp:lastModifiedBy>Admin</cp:lastModifiedBy>
  <cp:lastPrinted>2016-10-07T05:15:11Z</cp:lastPrinted>
  <dcterms:created xsi:type="dcterms:W3CDTF">2016-10-05T05:44:13Z</dcterms:created>
  <dcterms:modified xsi:type="dcterms:W3CDTF">2026-07-21T09:35:42Z</dcterms:modified>
</cp:coreProperties>
</file>